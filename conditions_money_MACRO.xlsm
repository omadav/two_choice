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Projects\Caltech\Humans\Mapping Prefrontal Cortex\two_choice.git\"/>
    </mc:Choice>
  </mc:AlternateContent>
  <bookViews>
    <workbookView xWindow="816" yWindow="-120" windowWidth="28116" windowHeight="16440" activeTab="2"/>
  </bookViews>
  <sheets>
    <sheet name="conditions" sheetId="3" r:id="rId1"/>
    <sheet name="cond_inter" sheetId="5" r:id="rId2"/>
    <sheet name="Sheet1" sheetId="4" r:id="rId3"/>
  </sheets>
  <definedNames>
    <definedName name="_xlnm._FilterDatabase" localSheetId="1" hidden="1">cond_inter!$B$1:$I$145</definedName>
    <definedName name="_xlnm._FilterDatabase" localSheetId="0" hidden="1">conditions!$A$1:$L$145</definedName>
  </definedNames>
  <calcPr calcId="162913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8" i="4" l="1"/>
  <c r="D112" i="4"/>
  <c r="D104" i="4"/>
  <c r="D96" i="4"/>
  <c r="D88" i="4"/>
  <c r="D80" i="4"/>
  <c r="D72" i="4"/>
  <c r="D64" i="4"/>
  <c r="D56" i="4"/>
  <c r="D48" i="4"/>
  <c r="D40" i="4"/>
  <c r="D32" i="4"/>
  <c r="C13" i="3"/>
  <c r="D159" i="4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D149" i="4"/>
  <c r="D126" i="4"/>
  <c r="D109" i="4"/>
  <c r="D93" i="4"/>
  <c r="D77" i="4"/>
  <c r="J58" i="3"/>
  <c r="D61" i="4"/>
  <c r="D42" i="3"/>
  <c r="D45" i="4"/>
  <c r="J26" i="3"/>
  <c r="D29" i="4"/>
  <c r="K10" i="3"/>
  <c r="D53" i="4"/>
  <c r="A34" i="3"/>
  <c r="D44" i="4"/>
  <c r="B25" i="3"/>
  <c r="D68" i="4"/>
  <c r="A49" i="3"/>
  <c r="D92" i="4"/>
  <c r="B73" i="3"/>
  <c r="D116" i="4"/>
  <c r="I97" i="3"/>
  <c r="D156" i="4"/>
  <c r="I137" i="3"/>
  <c r="D22" i="4"/>
  <c r="J3" i="3"/>
  <c r="D38" i="4"/>
  <c r="J19" i="3"/>
  <c r="D54" i="4"/>
  <c r="L35" i="3"/>
  <c r="D70" i="4"/>
  <c r="D51" i="3"/>
  <c r="D86" i="4"/>
  <c r="J67" i="3"/>
  <c r="D102" i="4"/>
  <c r="I83" i="3"/>
  <c r="D118" i="4"/>
  <c r="K99" i="3"/>
  <c r="D135" i="4"/>
  <c r="L116" i="3"/>
  <c r="D21" i="4"/>
  <c r="K2" i="3"/>
  <c r="D69" i="4"/>
  <c r="J50" i="3"/>
  <c r="D101" i="4"/>
  <c r="D134" i="4"/>
  <c r="D36" i="4"/>
  <c r="C17" i="3"/>
  <c r="D52" i="4"/>
  <c r="K33" i="3"/>
  <c r="D76" i="4"/>
  <c r="B57" i="3"/>
  <c r="D100" i="4"/>
  <c r="D81" i="3"/>
  <c r="D124" i="4"/>
  <c r="I105" i="3"/>
  <c r="D148" i="4"/>
  <c r="C129" i="3"/>
  <c r="D23" i="4"/>
  <c r="D4" i="3"/>
  <c r="D39" i="4"/>
  <c r="D20" i="3"/>
  <c r="D55" i="4"/>
  <c r="I36" i="3"/>
  <c r="D71" i="4"/>
  <c r="L52" i="3"/>
  <c r="D87" i="4"/>
  <c r="L68" i="3"/>
  <c r="D103" i="4"/>
  <c r="C84" i="3"/>
  <c r="D119" i="4"/>
  <c r="I100" i="3"/>
  <c r="D141" i="4"/>
  <c r="J122" i="3"/>
  <c r="D37" i="4"/>
  <c r="K18" i="3"/>
  <c r="D85" i="4"/>
  <c r="A66" i="3"/>
  <c r="D117" i="4"/>
  <c r="A98" i="3"/>
  <c r="D28" i="4"/>
  <c r="C9" i="3"/>
  <c r="D60" i="4"/>
  <c r="K41" i="3"/>
  <c r="D84" i="4"/>
  <c r="K65" i="3"/>
  <c r="D108" i="4"/>
  <c r="I89" i="3"/>
  <c r="D132" i="4"/>
  <c r="D113" i="3"/>
  <c r="D140" i="4"/>
  <c r="J121" i="3"/>
  <c r="D164" i="4"/>
  <c r="B145" i="3"/>
  <c r="D24" i="4"/>
  <c r="C5" i="3"/>
  <c r="D125" i="4"/>
  <c r="L106" i="3"/>
  <c r="D143" i="4"/>
  <c r="D124" i="3"/>
  <c r="D30" i="4"/>
  <c r="J11" i="3"/>
  <c r="D46" i="4"/>
  <c r="L27" i="3"/>
  <c r="D62" i="4"/>
  <c r="L43" i="3"/>
  <c r="D78" i="4"/>
  <c r="L59" i="3"/>
  <c r="D94" i="4"/>
  <c r="D75" i="3"/>
  <c r="D110" i="4"/>
  <c r="I91" i="3"/>
  <c r="D127" i="4"/>
  <c r="I108" i="3"/>
  <c r="D151" i="4"/>
  <c r="D132" i="3"/>
  <c r="D160" i="4"/>
  <c r="J141" i="3"/>
  <c r="D33" i="4"/>
  <c r="K14" i="3"/>
  <c r="D41" i="4"/>
  <c r="D22" i="3"/>
  <c r="D49" i="4"/>
  <c r="J30" i="3"/>
  <c r="D57" i="4"/>
  <c r="I38" i="3"/>
  <c r="D65" i="4"/>
  <c r="L46" i="3"/>
  <c r="D73" i="4"/>
  <c r="D54" i="3"/>
  <c r="D81" i="4"/>
  <c r="I62" i="3"/>
  <c r="D89" i="4"/>
  <c r="I70" i="3"/>
  <c r="D97" i="4"/>
  <c r="C78" i="3"/>
  <c r="D105" i="4"/>
  <c r="B86" i="3"/>
  <c r="D113" i="4"/>
  <c r="J94" i="3"/>
  <c r="D121" i="4"/>
  <c r="I102" i="3"/>
  <c r="D129" i="4"/>
  <c r="I110" i="3"/>
  <c r="D137" i="4"/>
  <c r="C118" i="3"/>
  <c r="D145" i="4"/>
  <c r="L126" i="3"/>
  <c r="D153" i="4"/>
  <c r="B134" i="3"/>
  <c r="D161" i="4"/>
  <c r="I142" i="3"/>
  <c r="D31" i="4"/>
  <c r="D12" i="3"/>
  <c r="D47" i="4"/>
  <c r="C28" i="3"/>
  <c r="D63" i="4"/>
  <c r="L44" i="3"/>
  <c r="D79" i="4"/>
  <c r="C60" i="3"/>
  <c r="D95" i="4"/>
  <c r="L76" i="3"/>
  <c r="D111" i="4"/>
  <c r="I92" i="3"/>
  <c r="D157" i="4"/>
  <c r="K138" i="3"/>
  <c r="D26" i="4"/>
  <c r="J7" i="3"/>
  <c r="D34" i="4"/>
  <c r="J15" i="3"/>
  <c r="D42" i="4"/>
  <c r="B23" i="3"/>
  <c r="D50" i="4"/>
  <c r="A31" i="3"/>
  <c r="D58" i="4"/>
  <c r="I39" i="3"/>
  <c r="D66" i="4"/>
  <c r="L47" i="3"/>
  <c r="D74" i="4"/>
  <c r="C55" i="3"/>
  <c r="D82" i="4"/>
  <c r="L63" i="3"/>
  <c r="D90" i="4"/>
  <c r="B71" i="3"/>
  <c r="D98" i="4"/>
  <c r="A79" i="3"/>
  <c r="D106" i="4"/>
  <c r="D87" i="3"/>
  <c r="D114" i="4"/>
  <c r="B95" i="3"/>
  <c r="D122" i="4"/>
  <c r="B103" i="3"/>
  <c r="D130" i="4"/>
  <c r="L111" i="3"/>
  <c r="D138" i="4"/>
  <c r="J119" i="3"/>
  <c r="D146" i="4"/>
  <c r="L127" i="3"/>
  <c r="D154" i="4"/>
  <c r="C135" i="3"/>
  <c r="D162" i="4"/>
  <c r="A143" i="3"/>
  <c r="D133" i="4"/>
  <c r="C114" i="3"/>
  <c r="D27" i="4"/>
  <c r="D8" i="3"/>
  <c r="D35" i="4"/>
  <c r="D16" i="3"/>
  <c r="D43" i="4"/>
  <c r="L24" i="3"/>
  <c r="D51" i="4"/>
  <c r="L32" i="3"/>
  <c r="D59" i="4"/>
  <c r="A40" i="3"/>
  <c r="D67" i="4"/>
  <c r="C48" i="3"/>
  <c r="D75" i="4"/>
  <c r="L56" i="3"/>
  <c r="D83" i="4"/>
  <c r="B64" i="3"/>
  <c r="D91" i="4"/>
  <c r="K72" i="3"/>
  <c r="D99" i="4"/>
  <c r="B80" i="3"/>
  <c r="D107" i="4"/>
  <c r="D88" i="3"/>
  <c r="D115" i="4"/>
  <c r="A96" i="3"/>
  <c r="D123" i="4"/>
  <c r="L104" i="3"/>
  <c r="D131" i="4"/>
  <c r="J112" i="3"/>
  <c r="D139" i="4"/>
  <c r="A120" i="3"/>
  <c r="D147" i="4"/>
  <c r="B128" i="3"/>
  <c r="D155" i="4"/>
  <c r="L136" i="3"/>
  <c r="D163" i="4"/>
  <c r="L144" i="3"/>
  <c r="D144" i="4"/>
  <c r="B125" i="3"/>
  <c r="D136" i="4"/>
  <c r="B117" i="3"/>
  <c r="D25" i="4"/>
  <c r="K6" i="3"/>
  <c r="D142" i="4"/>
  <c r="B123" i="3"/>
  <c r="D150" i="4"/>
  <c r="C131" i="3"/>
  <c r="D158" i="4"/>
  <c r="K139" i="3"/>
  <c r="D120" i="4"/>
  <c r="C101" i="3"/>
  <c r="D152" i="4"/>
  <c r="B133" i="3"/>
  <c r="D21" i="3"/>
  <c r="C21" i="3"/>
  <c r="L21" i="3"/>
  <c r="A21" i="3"/>
  <c r="J21" i="3"/>
  <c r="I21" i="3"/>
  <c r="D29" i="3"/>
  <c r="C29" i="3"/>
  <c r="L29" i="3"/>
  <c r="A29" i="3"/>
  <c r="J29" i="3"/>
  <c r="I29" i="3"/>
  <c r="D37" i="3"/>
  <c r="C37" i="3"/>
  <c r="L37" i="3"/>
  <c r="A37" i="3"/>
  <c r="J37" i="3"/>
  <c r="I37" i="3"/>
  <c r="D45" i="3"/>
  <c r="C45" i="3"/>
  <c r="L45" i="3"/>
  <c r="A45" i="3"/>
  <c r="J45" i="3"/>
  <c r="I45" i="3"/>
  <c r="D53" i="3"/>
  <c r="C53" i="3"/>
  <c r="L53" i="3"/>
  <c r="A53" i="3"/>
  <c r="J53" i="3"/>
  <c r="I53" i="3"/>
  <c r="D61" i="3"/>
  <c r="C61" i="3"/>
  <c r="B61" i="3"/>
  <c r="L61" i="3"/>
  <c r="A61" i="3"/>
  <c r="J61" i="3"/>
  <c r="I61" i="3"/>
  <c r="D69" i="3"/>
  <c r="C69" i="3"/>
  <c r="B69" i="3"/>
  <c r="L69" i="3"/>
  <c r="A69" i="3"/>
  <c r="J69" i="3"/>
  <c r="I69" i="3"/>
  <c r="D77" i="3"/>
  <c r="C77" i="3"/>
  <c r="B77" i="3"/>
  <c r="L77" i="3"/>
  <c r="A77" i="3"/>
  <c r="J77" i="3"/>
  <c r="I77" i="3"/>
  <c r="D85" i="3"/>
  <c r="B85" i="3"/>
  <c r="K85" i="3"/>
  <c r="J85" i="3"/>
  <c r="C85" i="3"/>
  <c r="A85" i="3"/>
  <c r="L85" i="3"/>
  <c r="I85" i="3"/>
  <c r="I93" i="3"/>
  <c r="D93" i="3"/>
  <c r="C93" i="3"/>
  <c r="B93" i="3"/>
  <c r="K93" i="3"/>
  <c r="J93" i="3"/>
  <c r="L93" i="3"/>
  <c r="A93" i="3"/>
  <c r="I109" i="3"/>
  <c r="D109" i="3"/>
  <c r="C109" i="3"/>
  <c r="B109" i="3"/>
  <c r="K109" i="3"/>
  <c r="J109" i="3"/>
  <c r="L109" i="3"/>
  <c r="A109" i="3"/>
  <c r="C10" i="3"/>
  <c r="L10" i="3"/>
  <c r="D13" i="3"/>
  <c r="A35" i="3"/>
  <c r="B37" i="3"/>
  <c r="K45" i="3"/>
  <c r="K61" i="3"/>
  <c r="C68" i="3"/>
  <c r="L30" i="3"/>
  <c r="D94" i="3"/>
  <c r="L110" i="3"/>
  <c r="D126" i="3"/>
  <c r="I4" i="3"/>
  <c r="D10" i="3"/>
  <c r="J20" i="3"/>
  <c r="D35" i="3"/>
  <c r="K23" i="3"/>
  <c r="B39" i="3"/>
  <c r="L95" i="3"/>
  <c r="A95" i="3"/>
  <c r="A4" i="3"/>
  <c r="J4" i="3"/>
  <c r="I13" i="3"/>
  <c r="I17" i="3"/>
  <c r="A20" i="3"/>
  <c r="K20" i="3"/>
  <c r="B29" i="3"/>
  <c r="I35" i="3"/>
  <c r="K37" i="3"/>
  <c r="A42" i="3"/>
  <c r="A59" i="3"/>
  <c r="K69" i="3"/>
  <c r="B4" i="3"/>
  <c r="K4" i="3"/>
  <c r="J13" i="3"/>
  <c r="J17" i="3"/>
  <c r="L20" i="3"/>
  <c r="D59" i="3"/>
  <c r="D25" i="3"/>
  <c r="C25" i="3"/>
  <c r="L25" i="3"/>
  <c r="A25" i="3"/>
  <c r="J25" i="3"/>
  <c r="I25" i="3"/>
  <c r="A41" i="3"/>
  <c r="D49" i="3"/>
  <c r="C49" i="3"/>
  <c r="J49" i="3"/>
  <c r="I49" i="3"/>
  <c r="J73" i="3"/>
  <c r="K97" i="3"/>
  <c r="D121" i="3"/>
  <c r="C121" i="3"/>
  <c r="B121" i="3"/>
  <c r="K121" i="3"/>
  <c r="A121" i="3"/>
  <c r="J145" i="3"/>
  <c r="I145" i="3"/>
  <c r="D145" i="3"/>
  <c r="C145" i="3"/>
  <c r="L145" i="3"/>
  <c r="A145" i="3"/>
  <c r="C4" i="3"/>
  <c r="L4" i="3"/>
  <c r="C8" i="3"/>
  <c r="K13" i="3"/>
  <c r="B21" i="3"/>
  <c r="K29" i="3"/>
  <c r="C36" i="3"/>
  <c r="D38" i="3"/>
  <c r="A51" i="3"/>
  <c r="B53" i="3"/>
  <c r="I59" i="3"/>
  <c r="L64" i="3"/>
  <c r="K77" i="3"/>
  <c r="L26" i="3"/>
  <c r="C26" i="3"/>
  <c r="K26" i="3"/>
  <c r="B26" i="3"/>
  <c r="I26" i="3"/>
  <c r="L34" i="3"/>
  <c r="C34" i="3"/>
  <c r="K34" i="3"/>
  <c r="B34" i="3"/>
  <c r="I34" i="3"/>
  <c r="L42" i="3"/>
  <c r="C42" i="3"/>
  <c r="K42" i="3"/>
  <c r="B42" i="3"/>
  <c r="I42" i="3"/>
  <c r="L58" i="3"/>
  <c r="C58" i="3"/>
  <c r="K58" i="3"/>
  <c r="B58" i="3"/>
  <c r="I58" i="3"/>
  <c r="L66" i="3"/>
  <c r="C66" i="3"/>
  <c r="K66" i="3"/>
  <c r="B66" i="3"/>
  <c r="J66" i="3"/>
  <c r="I66" i="3"/>
  <c r="D74" i="3"/>
  <c r="L74" i="3"/>
  <c r="C74" i="3"/>
  <c r="K74" i="3"/>
  <c r="B74" i="3"/>
  <c r="J74" i="3"/>
  <c r="A74" i="3"/>
  <c r="I74" i="3"/>
  <c r="D82" i="3"/>
  <c r="L82" i="3"/>
  <c r="C82" i="3"/>
  <c r="J82" i="3"/>
  <c r="A82" i="3"/>
  <c r="K82" i="3"/>
  <c r="I82" i="3"/>
  <c r="B82" i="3"/>
  <c r="D90" i="3"/>
  <c r="L90" i="3"/>
  <c r="C90" i="3"/>
  <c r="K90" i="3"/>
  <c r="B90" i="3"/>
  <c r="J90" i="3"/>
  <c r="A90" i="3"/>
  <c r="I90" i="3"/>
  <c r="D98" i="3"/>
  <c r="K98" i="3"/>
  <c r="B98" i="3"/>
  <c r="I98" i="3"/>
  <c r="D114" i="3"/>
  <c r="D130" i="3"/>
  <c r="L130" i="3"/>
  <c r="C130" i="3"/>
  <c r="K130" i="3"/>
  <c r="B130" i="3"/>
  <c r="J130" i="3"/>
  <c r="A130" i="3"/>
  <c r="I130" i="3"/>
  <c r="A5" i="3"/>
  <c r="I10" i="3"/>
  <c r="A13" i="3"/>
  <c r="L13" i="3"/>
  <c r="I18" i="3"/>
  <c r="I23" i="3"/>
  <c r="K25" i="3"/>
  <c r="A30" i="3"/>
  <c r="D34" i="3"/>
  <c r="J42" i="3"/>
  <c r="B49" i="3"/>
  <c r="K35" i="3"/>
  <c r="J35" i="3"/>
  <c r="C35" i="3"/>
  <c r="B35" i="3"/>
  <c r="K51" i="3"/>
  <c r="J51" i="3"/>
  <c r="C51" i="3"/>
  <c r="B51" i="3"/>
  <c r="K59" i="3"/>
  <c r="J59" i="3"/>
  <c r="C59" i="3"/>
  <c r="B59" i="3"/>
  <c r="L67" i="3"/>
  <c r="A67" i="3"/>
  <c r="K67" i="3"/>
  <c r="I67" i="3"/>
  <c r="C67" i="3"/>
  <c r="L75" i="3"/>
  <c r="A75" i="3"/>
  <c r="K75" i="3"/>
  <c r="J75" i="3"/>
  <c r="I75" i="3"/>
  <c r="C75" i="3"/>
  <c r="B75" i="3"/>
  <c r="A91" i="3"/>
  <c r="K91" i="3"/>
  <c r="D91" i="3"/>
  <c r="C91" i="3"/>
  <c r="B107" i="3"/>
  <c r="L107" i="3"/>
  <c r="A107" i="3"/>
  <c r="K107" i="3"/>
  <c r="J107" i="3"/>
  <c r="I107" i="3"/>
  <c r="D107" i="3"/>
  <c r="C107" i="3"/>
  <c r="B115" i="3"/>
  <c r="L115" i="3"/>
  <c r="A115" i="3"/>
  <c r="K115" i="3"/>
  <c r="J115" i="3"/>
  <c r="I115" i="3"/>
  <c r="D115" i="3"/>
  <c r="C115" i="3"/>
  <c r="A139" i="3"/>
  <c r="J139" i="3"/>
  <c r="A10" i="3"/>
  <c r="J10" i="3"/>
  <c r="B13" i="3"/>
  <c r="B17" i="3"/>
  <c r="A18" i="3"/>
  <c r="J18" i="3"/>
  <c r="K21" i="3"/>
  <c r="L23" i="3"/>
  <c r="A26" i="3"/>
  <c r="D30" i="3"/>
  <c r="J38" i="3"/>
  <c r="B45" i="3"/>
  <c r="I51" i="3"/>
  <c r="K53" i="3"/>
  <c r="A58" i="3"/>
  <c r="D28" i="3"/>
  <c r="K28" i="3"/>
  <c r="B28" i="3"/>
  <c r="J28" i="3"/>
  <c r="A28" i="3"/>
  <c r="B36" i="3"/>
  <c r="J36" i="3"/>
  <c r="A36" i="3"/>
  <c r="D44" i="3"/>
  <c r="K44" i="3"/>
  <c r="B44" i="3"/>
  <c r="J44" i="3"/>
  <c r="A44" i="3"/>
  <c r="I60" i="3"/>
  <c r="D60" i="3"/>
  <c r="A60" i="3"/>
  <c r="B92" i="3"/>
  <c r="B124" i="3"/>
  <c r="J140" i="3"/>
  <c r="A140" i="3"/>
  <c r="I140" i="3"/>
  <c r="L140" i="3"/>
  <c r="C140" i="3"/>
  <c r="K140" i="3"/>
  <c r="B140" i="3"/>
  <c r="D140" i="3"/>
  <c r="B10" i="3"/>
  <c r="B18" i="3"/>
  <c r="D26" i="3"/>
  <c r="J34" i="3"/>
  <c r="L36" i="3"/>
  <c r="L51" i="3"/>
  <c r="D58" i="3"/>
  <c r="L16" i="3"/>
  <c r="C16" i="3"/>
  <c r="D103" i="3"/>
  <c r="J110" i="3"/>
  <c r="K144" i="3"/>
  <c r="C80" i="3"/>
  <c r="D32" i="3"/>
  <c r="L139" i="3"/>
  <c r="C64" i="3"/>
  <c r="I128" i="3"/>
  <c r="L28" i="3"/>
  <c r="A94" i="3"/>
  <c r="B139" i="3"/>
  <c r="I114" i="3"/>
  <c r="A128" i="3"/>
  <c r="K94" i="3"/>
  <c r="A114" i="3"/>
  <c r="I121" i="3"/>
  <c r="D18" i="3"/>
  <c r="L94" i="3"/>
  <c r="C139" i="3"/>
  <c r="K114" i="3"/>
  <c r="L121" i="3"/>
  <c r="I94" i="3"/>
  <c r="B87" i="3"/>
  <c r="B30" i="3"/>
  <c r="L18" i="3"/>
  <c r="J114" i="3"/>
  <c r="D139" i="3"/>
  <c r="L114" i="3"/>
  <c r="D23" i="3"/>
  <c r="K30" i="3"/>
  <c r="C18" i="3"/>
  <c r="J102" i="3"/>
  <c r="B38" i="3"/>
  <c r="A101" i="3"/>
  <c r="J72" i="3"/>
  <c r="C44" i="3"/>
  <c r="C87" i="3"/>
  <c r="B102" i="3"/>
  <c r="J101" i="3"/>
  <c r="A38" i="3"/>
  <c r="J64" i="3"/>
  <c r="L87" i="3"/>
  <c r="I28" i="3"/>
  <c r="L72" i="3"/>
  <c r="I139" i="3"/>
  <c r="B114" i="3"/>
  <c r="D66" i="3"/>
  <c r="C20" i="3"/>
  <c r="K145" i="3"/>
  <c r="A23" i="3"/>
  <c r="K136" i="3"/>
  <c r="K64" i="3"/>
  <c r="B94" i="3"/>
  <c r="C30" i="3"/>
  <c r="I20" i="3"/>
  <c r="A136" i="3"/>
  <c r="I64" i="3"/>
  <c r="C31" i="3"/>
  <c r="I44" i="3"/>
  <c r="B20" i="3"/>
  <c r="J136" i="3"/>
  <c r="D31" i="3"/>
  <c r="C23" i="3"/>
  <c r="C94" i="3"/>
  <c r="J96" i="3"/>
  <c r="C136" i="3"/>
  <c r="D64" i="3"/>
  <c r="J8" i="3"/>
  <c r="J87" i="3"/>
  <c r="B31" i="3"/>
  <c r="L102" i="3"/>
  <c r="K38" i="3"/>
  <c r="K8" i="3"/>
  <c r="D128" i="3"/>
  <c r="B72" i="3"/>
  <c r="I87" i="3"/>
  <c r="J23" i="3"/>
  <c r="K128" i="3"/>
  <c r="I72" i="3"/>
  <c r="D95" i="3"/>
  <c r="K87" i="3"/>
  <c r="I31" i="3"/>
  <c r="C128" i="3"/>
  <c r="A64" i="3"/>
  <c r="I95" i="3"/>
  <c r="A87" i="3"/>
  <c r="I117" i="3"/>
  <c r="L128" i="3"/>
  <c r="J128" i="3"/>
  <c r="A103" i="3"/>
  <c r="D80" i="3"/>
  <c r="A144" i="3"/>
  <c r="I16" i="3"/>
  <c r="J104" i="3"/>
  <c r="L134" i="3"/>
  <c r="J6" i="3"/>
  <c r="L133" i="3"/>
  <c r="J60" i="3"/>
  <c r="L60" i="3"/>
  <c r="K60" i="3"/>
  <c r="J91" i="3"/>
  <c r="A17" i="3"/>
  <c r="J98" i="3"/>
  <c r="K17" i="3"/>
  <c r="L49" i="3"/>
  <c r="J5" i="3"/>
  <c r="I144" i="3"/>
  <c r="I136" i="3"/>
  <c r="K80" i="3"/>
  <c r="D72" i="3"/>
  <c r="A16" i="3"/>
  <c r="C103" i="3"/>
  <c r="C95" i="3"/>
  <c r="C63" i="3"/>
  <c r="K31" i="3"/>
  <c r="A110" i="3"/>
  <c r="D39" i="3"/>
  <c r="L80" i="3"/>
  <c r="K36" i="3"/>
  <c r="A6" i="3"/>
  <c r="L91" i="3"/>
  <c r="C98" i="3"/>
  <c r="L31" i="3"/>
  <c r="J65" i="3"/>
  <c r="K16" i="3"/>
  <c r="D144" i="3"/>
  <c r="D136" i="3"/>
  <c r="I80" i="3"/>
  <c r="A8" i="3"/>
  <c r="J103" i="3"/>
  <c r="J95" i="3"/>
  <c r="J39" i="3"/>
  <c r="I8" i="3"/>
  <c r="K110" i="3"/>
  <c r="D102" i="3"/>
  <c r="K46" i="3"/>
  <c r="L6" i="3"/>
  <c r="J144" i="3"/>
  <c r="I103" i="3"/>
  <c r="C39" i="3"/>
  <c r="B110" i="3"/>
  <c r="B46" i="3"/>
  <c r="K49" i="3"/>
  <c r="A39" i="3"/>
  <c r="J84" i="3"/>
  <c r="D36" i="3"/>
  <c r="B5" i="3"/>
  <c r="B91" i="3"/>
  <c r="B67" i="3"/>
  <c r="L5" i="3"/>
  <c r="L98" i="3"/>
  <c r="L8" i="3"/>
  <c r="A65" i="3"/>
  <c r="B16" i="3"/>
  <c r="B144" i="3"/>
  <c r="B136" i="3"/>
  <c r="A80" i="3"/>
  <c r="A72" i="3"/>
  <c r="D46" i="3"/>
  <c r="I5" i="3"/>
  <c r="K103" i="3"/>
  <c r="K95" i="3"/>
  <c r="K39" i="3"/>
  <c r="A46" i="3"/>
  <c r="C110" i="3"/>
  <c r="C46" i="3"/>
  <c r="A133" i="3"/>
  <c r="D5" i="3"/>
  <c r="C144" i="3"/>
  <c r="L103" i="3"/>
  <c r="D110" i="3"/>
  <c r="J133" i="3"/>
  <c r="K5" i="3"/>
  <c r="J80" i="3"/>
  <c r="D67" i="3"/>
  <c r="B60" i="3"/>
  <c r="C72" i="3"/>
  <c r="L17" i="3"/>
  <c r="J46" i="3"/>
  <c r="B8" i="3"/>
  <c r="L39" i="3"/>
  <c r="J16" i="3"/>
  <c r="D127" i="3"/>
  <c r="B63" i="3"/>
  <c r="J31" i="3"/>
  <c r="A102" i="3"/>
  <c r="C38" i="3"/>
  <c r="D17" i="3"/>
  <c r="C133" i="3"/>
  <c r="A84" i="3"/>
  <c r="J116" i="3"/>
  <c r="A104" i="3"/>
  <c r="K40" i="3"/>
  <c r="C127" i="3"/>
  <c r="C134" i="3"/>
  <c r="I84" i="3"/>
  <c r="A137" i="3"/>
  <c r="B141" i="3"/>
  <c r="J137" i="3"/>
  <c r="C141" i="3"/>
  <c r="B6" i="3"/>
  <c r="L138" i="3"/>
  <c r="D11" i="3"/>
  <c r="B116" i="3"/>
  <c r="D138" i="3"/>
  <c r="I81" i="3"/>
  <c r="D6" i="3"/>
  <c r="J70" i="3"/>
  <c r="A116" i="3"/>
  <c r="A81" i="3"/>
  <c r="B40" i="3"/>
  <c r="B70" i="3"/>
  <c r="L57" i="3"/>
  <c r="B132" i="3"/>
  <c r="A92" i="3"/>
  <c r="L132" i="3"/>
  <c r="D55" i="3"/>
  <c r="A97" i="3"/>
  <c r="A55" i="3"/>
  <c r="K96" i="3"/>
  <c r="J32" i="3"/>
  <c r="L124" i="3"/>
  <c r="D68" i="3"/>
  <c r="K119" i="3"/>
  <c r="C99" i="3"/>
  <c r="C32" i="3"/>
  <c r="B119" i="3"/>
  <c r="A99" i="3"/>
  <c r="A62" i="3"/>
  <c r="J55" i="3"/>
  <c r="J126" i="3"/>
  <c r="K62" i="3"/>
  <c r="I30" i="3"/>
  <c r="K132" i="3"/>
  <c r="J92" i="3"/>
  <c r="I68" i="3"/>
  <c r="L99" i="3"/>
  <c r="L97" i="3"/>
  <c r="C57" i="3"/>
  <c r="I41" i="3"/>
  <c r="D96" i="3"/>
  <c r="B32" i="3"/>
  <c r="A119" i="3"/>
  <c r="K55" i="3"/>
  <c r="J62" i="3"/>
  <c r="K124" i="3"/>
  <c r="L55" i="3"/>
  <c r="I32" i="3"/>
  <c r="C132" i="3"/>
  <c r="C124" i="3"/>
  <c r="D92" i="3"/>
  <c r="B99" i="3"/>
  <c r="J97" i="3"/>
  <c r="D57" i="3"/>
  <c r="J41" i="3"/>
  <c r="B96" i="3"/>
  <c r="K32" i="3"/>
  <c r="L119" i="3"/>
  <c r="A126" i="3"/>
  <c r="B62" i="3"/>
  <c r="C96" i="3"/>
  <c r="C119" i="3"/>
  <c r="B126" i="3"/>
  <c r="C62" i="3"/>
  <c r="I132" i="3"/>
  <c r="K92" i="3"/>
  <c r="A68" i="3"/>
  <c r="C97" i="3"/>
  <c r="I57" i="3"/>
  <c r="C41" i="3"/>
  <c r="L96" i="3"/>
  <c r="D119" i="3"/>
  <c r="K126" i="3"/>
  <c r="L62" i="3"/>
  <c r="B97" i="3"/>
  <c r="L41" i="3"/>
  <c r="A132" i="3"/>
  <c r="C92" i="3"/>
  <c r="I99" i="3"/>
  <c r="J132" i="3"/>
  <c r="J124" i="3"/>
  <c r="L92" i="3"/>
  <c r="B68" i="3"/>
  <c r="J99" i="3"/>
  <c r="K57" i="3"/>
  <c r="D97" i="3"/>
  <c r="J57" i="3"/>
  <c r="D41" i="3"/>
  <c r="I96" i="3"/>
  <c r="I119" i="3"/>
  <c r="B55" i="3"/>
  <c r="C126" i="3"/>
  <c r="D62" i="3"/>
  <c r="I124" i="3"/>
  <c r="D99" i="3"/>
  <c r="A124" i="3"/>
  <c r="J68" i="3"/>
  <c r="B41" i="3"/>
  <c r="I126" i="3"/>
  <c r="K68" i="3"/>
  <c r="I55" i="3"/>
  <c r="A57" i="3"/>
  <c r="A32" i="3"/>
  <c r="I116" i="3"/>
  <c r="L84" i="3"/>
  <c r="I6" i="3"/>
  <c r="C138" i="3"/>
  <c r="L137" i="3"/>
  <c r="C81" i="3"/>
  <c r="I65" i="3"/>
  <c r="I104" i="3"/>
  <c r="J40" i="3"/>
  <c r="B127" i="3"/>
  <c r="K134" i="3"/>
  <c r="A70" i="3"/>
  <c r="K141" i="3"/>
  <c r="D116" i="3"/>
  <c r="D84" i="3"/>
  <c r="I138" i="3"/>
  <c r="K137" i="3"/>
  <c r="J81" i="3"/>
  <c r="L65" i="3"/>
  <c r="C40" i="3"/>
  <c r="D104" i="3"/>
  <c r="D40" i="3"/>
  <c r="D63" i="3"/>
  <c r="B11" i="3"/>
  <c r="I127" i="3"/>
  <c r="I63" i="3"/>
  <c r="D134" i="3"/>
  <c r="K70" i="3"/>
  <c r="C6" i="3"/>
  <c r="D141" i="3"/>
  <c r="B137" i="3"/>
  <c r="K81" i="3"/>
  <c r="B65" i="3"/>
  <c r="B104" i="3"/>
  <c r="J127" i="3"/>
  <c r="J63" i="3"/>
  <c r="I134" i="3"/>
  <c r="C70" i="3"/>
  <c r="I141" i="3"/>
  <c r="A138" i="3"/>
  <c r="K116" i="3"/>
  <c r="B84" i="3"/>
  <c r="L81" i="3"/>
  <c r="J138" i="3"/>
  <c r="C137" i="3"/>
  <c r="B81" i="3"/>
  <c r="C65" i="3"/>
  <c r="C11" i="3"/>
  <c r="K104" i="3"/>
  <c r="K127" i="3"/>
  <c r="K63" i="3"/>
  <c r="A134" i="3"/>
  <c r="L70" i="3"/>
  <c r="A141" i="3"/>
  <c r="L40" i="3"/>
  <c r="C116" i="3"/>
  <c r="I11" i="3"/>
  <c r="B138" i="3"/>
  <c r="D137" i="3"/>
  <c r="D65" i="3"/>
  <c r="C104" i="3"/>
  <c r="A127" i="3"/>
  <c r="A63" i="3"/>
  <c r="L11" i="3"/>
  <c r="J134" i="3"/>
  <c r="D70" i="3"/>
  <c r="L141" i="3"/>
  <c r="I40" i="3"/>
  <c r="K84" i="3"/>
  <c r="A11" i="3"/>
  <c r="K11" i="3"/>
  <c r="D133" i="3"/>
  <c r="D123" i="3"/>
  <c r="J142" i="3"/>
  <c r="B112" i="3"/>
  <c r="I135" i="3"/>
  <c r="I71" i="3"/>
  <c r="D78" i="3"/>
  <c r="L14" i="3"/>
  <c r="B100" i="3"/>
  <c r="A105" i="3"/>
  <c r="A7" i="3"/>
  <c r="J100" i="3"/>
  <c r="L89" i="3"/>
  <c r="B7" i="3"/>
  <c r="A100" i="3"/>
  <c r="C123" i="3"/>
  <c r="L48" i="3"/>
  <c r="L105" i="3"/>
  <c r="A89" i="3"/>
  <c r="D112" i="3"/>
  <c r="D48" i="3"/>
  <c r="D135" i="3"/>
  <c r="C71" i="3"/>
  <c r="L7" i="3"/>
  <c r="A142" i="3"/>
  <c r="L78" i="3"/>
  <c r="D100" i="3"/>
  <c r="I7" i="3"/>
  <c r="I123" i="3"/>
  <c r="B27" i="3"/>
  <c r="D71" i="3"/>
  <c r="D7" i="3"/>
  <c r="J105" i="3"/>
  <c r="J89" i="3"/>
  <c r="C7" i="3"/>
  <c r="K112" i="3"/>
  <c r="J135" i="3"/>
  <c r="J71" i="3"/>
  <c r="B142" i="3"/>
  <c r="B78" i="3"/>
  <c r="C14" i="3"/>
  <c r="K3" i="3"/>
  <c r="K105" i="3"/>
  <c r="K89" i="3"/>
  <c r="I48" i="3"/>
  <c r="C112" i="3"/>
  <c r="K135" i="3"/>
  <c r="K71" i="3"/>
  <c r="D14" i="3"/>
  <c r="K142" i="3"/>
  <c r="I78" i="3"/>
  <c r="L2" i="3"/>
  <c r="K100" i="3"/>
  <c r="J14" i="3"/>
  <c r="K123" i="3"/>
  <c r="J27" i="3"/>
  <c r="I2" i="3"/>
  <c r="B105" i="3"/>
  <c r="B89" i="3"/>
  <c r="L112" i="3"/>
  <c r="A48" i="3"/>
  <c r="A135" i="3"/>
  <c r="A71" i="3"/>
  <c r="L3" i="3"/>
  <c r="C142" i="3"/>
  <c r="K78" i="3"/>
  <c r="C100" i="3"/>
  <c r="A14" i="3"/>
  <c r="A123" i="3"/>
  <c r="K27" i="3"/>
  <c r="I14" i="3"/>
  <c r="C105" i="3"/>
  <c r="C89" i="3"/>
  <c r="I112" i="3"/>
  <c r="J48" i="3"/>
  <c r="B3" i="3"/>
  <c r="L135" i="3"/>
  <c r="L71" i="3"/>
  <c r="A3" i="3"/>
  <c r="L142" i="3"/>
  <c r="A78" i="3"/>
  <c r="J123" i="3"/>
  <c r="C27" i="3"/>
  <c r="L100" i="3"/>
  <c r="I3" i="3"/>
  <c r="L123" i="3"/>
  <c r="D3" i="3"/>
  <c r="D105" i="3"/>
  <c r="D89" i="3"/>
  <c r="C3" i="3"/>
  <c r="A112" i="3"/>
  <c r="B48" i="3"/>
  <c r="B2" i="3"/>
  <c r="B135" i="3"/>
  <c r="A2" i="3"/>
  <c r="D142" i="3"/>
  <c r="J78" i="3"/>
  <c r="B14" i="3"/>
  <c r="J2" i="3"/>
  <c r="I27" i="3"/>
  <c r="D2" i="3"/>
  <c r="D27" i="3"/>
  <c r="C2" i="3"/>
  <c r="K48" i="3"/>
  <c r="A27" i="3"/>
  <c r="D101" i="3"/>
  <c r="K7" i="3"/>
  <c r="K133" i="3"/>
  <c r="I133" i="3"/>
  <c r="I46" i="3"/>
  <c r="B106" i="3"/>
  <c r="D33" i="3"/>
  <c r="B88" i="3"/>
  <c r="L143" i="3"/>
  <c r="D118" i="3"/>
  <c r="J52" i="3"/>
  <c r="B83" i="3"/>
  <c r="K83" i="3"/>
  <c r="D106" i="3"/>
  <c r="C73" i="3"/>
  <c r="I88" i="3"/>
  <c r="B24" i="3"/>
  <c r="J111" i="3"/>
  <c r="B47" i="3"/>
  <c r="C54" i="3"/>
  <c r="K108" i="3"/>
  <c r="B111" i="3"/>
  <c r="A50" i="3"/>
  <c r="A108" i="3"/>
  <c r="K76" i="3"/>
  <c r="B122" i="3"/>
  <c r="J33" i="3"/>
  <c r="C76" i="3"/>
  <c r="J54" i="3"/>
  <c r="A118" i="3"/>
  <c r="C108" i="3"/>
  <c r="J108" i="3"/>
  <c r="A76" i="3"/>
  <c r="D76" i="3"/>
  <c r="B52" i="3"/>
  <c r="D47" i="3"/>
  <c r="C83" i="3"/>
  <c r="A83" i="3"/>
  <c r="K43" i="3"/>
  <c r="I106" i="3"/>
  <c r="K106" i="3"/>
  <c r="K9" i="3"/>
  <c r="A73" i="3"/>
  <c r="D73" i="3"/>
  <c r="A33" i="3"/>
  <c r="J9" i="3"/>
  <c r="K88" i="3"/>
  <c r="J88" i="3"/>
  <c r="K24" i="3"/>
  <c r="I52" i="3"/>
  <c r="B19" i="3"/>
  <c r="C111" i="3"/>
  <c r="K111" i="3"/>
  <c r="L79" i="3"/>
  <c r="C47" i="3"/>
  <c r="J118" i="3"/>
  <c r="C86" i="3"/>
  <c r="L54" i="3"/>
  <c r="D9" i="3"/>
  <c r="C24" i="3"/>
  <c r="K73" i="3"/>
  <c r="C56" i="3"/>
  <c r="I47" i="3"/>
  <c r="D108" i="3"/>
  <c r="L108" i="3"/>
  <c r="J76" i="3"/>
  <c r="I76" i="3"/>
  <c r="K52" i="3"/>
  <c r="D131" i="3"/>
  <c r="D83" i="3"/>
  <c r="L83" i="3"/>
  <c r="L9" i="3"/>
  <c r="A106" i="3"/>
  <c r="C106" i="3"/>
  <c r="D129" i="3"/>
  <c r="L73" i="3"/>
  <c r="L33" i="3"/>
  <c r="J120" i="3"/>
  <c r="C88" i="3"/>
  <c r="D56" i="3"/>
  <c r="A24" i="3"/>
  <c r="D24" i="3"/>
  <c r="D111" i="3"/>
  <c r="A111" i="3"/>
  <c r="J47" i="3"/>
  <c r="B33" i="3"/>
  <c r="B118" i="3"/>
  <c r="I54" i="3"/>
  <c r="A54" i="3"/>
  <c r="B108" i="3"/>
  <c r="B76" i="3"/>
  <c r="A52" i="3"/>
  <c r="D52" i="3"/>
  <c r="A43" i="3"/>
  <c r="B9" i="3"/>
  <c r="J83" i="3"/>
  <c r="A47" i="3"/>
  <c r="A9" i="3"/>
  <c r="J106" i="3"/>
  <c r="D19" i="3"/>
  <c r="I113" i="3"/>
  <c r="I73" i="3"/>
  <c r="I33" i="3"/>
  <c r="C33" i="3"/>
  <c r="C19" i="3"/>
  <c r="A88" i="3"/>
  <c r="L88" i="3"/>
  <c r="J24" i="3"/>
  <c r="I9" i="3"/>
  <c r="I111" i="3"/>
  <c r="K47" i="3"/>
  <c r="A15" i="3"/>
  <c r="I118" i="3"/>
  <c r="L118" i="3"/>
  <c r="B54" i="3"/>
  <c r="B22" i="3"/>
  <c r="C52" i="3"/>
  <c r="K19" i="3"/>
  <c r="C125" i="3"/>
  <c r="I125" i="3"/>
  <c r="A117" i="3"/>
  <c r="L117" i="3"/>
  <c r="D117" i="3"/>
  <c r="I15" i="3"/>
  <c r="I131" i="3"/>
  <c r="L113" i="3"/>
  <c r="K122" i="3"/>
  <c r="I129" i="3"/>
  <c r="B143" i="3"/>
  <c r="I24" i="3"/>
  <c r="K118" i="3"/>
  <c r="K102" i="3"/>
  <c r="L86" i="3"/>
  <c r="L38" i="3"/>
  <c r="K22" i="3"/>
  <c r="A125" i="3"/>
  <c r="K117" i="3"/>
  <c r="I101" i="3"/>
  <c r="J131" i="3"/>
  <c r="J79" i="3"/>
  <c r="C122" i="3"/>
  <c r="I50" i="3"/>
  <c r="A129" i="3"/>
  <c r="A113" i="3"/>
  <c r="B120" i="3"/>
  <c r="C143" i="3"/>
  <c r="B79" i="3"/>
  <c r="I12" i="3"/>
  <c r="C102" i="3"/>
  <c r="D86" i="3"/>
  <c r="C22" i="3"/>
  <c r="I43" i="3"/>
  <c r="L125" i="3"/>
  <c r="C117" i="3"/>
  <c r="D43" i="3"/>
  <c r="A22" i="3"/>
  <c r="K131" i="3"/>
  <c r="L122" i="3"/>
  <c r="B50" i="3"/>
  <c r="L129" i="3"/>
  <c r="J113" i="3"/>
  <c r="K120" i="3"/>
  <c r="D143" i="3"/>
  <c r="C79" i="3"/>
  <c r="I56" i="3"/>
  <c r="L19" i="3"/>
  <c r="L22" i="3"/>
  <c r="K125" i="3"/>
  <c r="A131" i="3"/>
  <c r="D122" i="3"/>
  <c r="K50" i="3"/>
  <c r="D15" i="3"/>
  <c r="J129" i="3"/>
  <c r="K113" i="3"/>
  <c r="C15" i="3"/>
  <c r="C120" i="3"/>
  <c r="A56" i="3"/>
  <c r="B15" i="3"/>
  <c r="I143" i="3"/>
  <c r="D79" i="3"/>
  <c r="D50" i="3"/>
  <c r="A19" i="3"/>
  <c r="I86" i="3"/>
  <c r="K15" i="3"/>
  <c r="D120" i="3"/>
  <c r="I19" i="3"/>
  <c r="L131" i="3"/>
  <c r="B43" i="3"/>
  <c r="I122" i="3"/>
  <c r="C50" i="3"/>
  <c r="K129" i="3"/>
  <c r="B113" i="3"/>
  <c r="L120" i="3"/>
  <c r="J56" i="3"/>
  <c r="J22" i="3"/>
  <c r="J143" i="3"/>
  <c r="I79" i="3"/>
  <c r="K86" i="3"/>
  <c r="K54" i="3"/>
  <c r="D125" i="3"/>
  <c r="L101" i="3"/>
  <c r="B131" i="3"/>
  <c r="C43" i="3"/>
  <c r="A122" i="3"/>
  <c r="L50" i="3"/>
  <c r="L12" i="3"/>
  <c r="B129" i="3"/>
  <c r="C113" i="3"/>
  <c r="K12" i="3"/>
  <c r="I120" i="3"/>
  <c r="B56" i="3"/>
  <c r="J12" i="3"/>
  <c r="K143" i="3"/>
  <c r="K79" i="3"/>
  <c r="A86" i="3"/>
  <c r="J43" i="3"/>
  <c r="C12" i="3"/>
  <c r="B12" i="3"/>
  <c r="K56" i="3"/>
  <c r="A12" i="3"/>
  <c r="L15" i="3"/>
  <c r="J86" i="3"/>
  <c r="I22" i="3"/>
  <c r="B101" i="3"/>
  <c r="J125" i="3"/>
  <c r="J117" i="3"/>
  <c r="K101" i="3"/>
  <c r="N2" i="4"/>
  <c r="J3" i="4"/>
  <c r="J2" i="4"/>
  <c r="D2" i="4"/>
  <c r="J4" i="4"/>
  <c r="D3" i="4"/>
  <c r="D4" i="4"/>
  <c r="H2" i="4"/>
  <c r="H3" i="4"/>
  <c r="B2" i="4"/>
  <c r="H4" i="4"/>
  <c r="B4" i="4"/>
  <c r="B3" i="4"/>
  <c r="H25" i="3"/>
  <c r="G34" i="3"/>
  <c r="G5" i="3"/>
  <c r="H18" i="3"/>
  <c r="H7" i="3"/>
  <c r="H41" i="3"/>
  <c r="H123" i="3"/>
  <c r="G126" i="3"/>
  <c r="G58" i="3"/>
  <c r="H122" i="3"/>
  <c r="G136" i="3"/>
  <c r="H10" i="3"/>
  <c r="G108" i="3"/>
  <c r="H115" i="3"/>
  <c r="G66" i="3"/>
  <c r="G64" i="3"/>
  <c r="H38" i="3"/>
  <c r="G142" i="3"/>
  <c r="H114" i="3"/>
  <c r="G57" i="3"/>
  <c r="G59" i="3"/>
  <c r="H46" i="3"/>
  <c r="H20" i="3"/>
  <c r="H83" i="3"/>
  <c r="H71" i="3"/>
  <c r="G104" i="3"/>
  <c r="H130" i="3"/>
  <c r="H111" i="3"/>
  <c r="G129" i="3"/>
  <c r="H29" i="3"/>
  <c r="H79" i="3"/>
  <c r="G107" i="3"/>
  <c r="G51" i="3"/>
  <c r="H101" i="3"/>
  <c r="H34" i="3"/>
  <c r="G110" i="3"/>
  <c r="G134" i="3"/>
  <c r="H9" i="3"/>
  <c r="G125" i="3"/>
  <c r="G29" i="3"/>
  <c r="G14" i="3"/>
  <c r="G16" i="3"/>
  <c r="G56" i="3"/>
  <c r="H93" i="3"/>
  <c r="H32" i="3"/>
  <c r="H112" i="3"/>
  <c r="G92" i="3"/>
  <c r="G40" i="3"/>
  <c r="G102" i="3"/>
  <c r="H12" i="3"/>
  <c r="G25" i="3"/>
  <c r="G72" i="3"/>
  <c r="H3" i="3"/>
  <c r="H76" i="3"/>
  <c r="G117" i="3"/>
  <c r="H80" i="3"/>
  <c r="G131" i="3"/>
  <c r="G11" i="3"/>
  <c r="G8" i="3"/>
  <c r="H87" i="3"/>
  <c r="G114" i="3"/>
  <c r="G86" i="3"/>
  <c r="G87" i="3"/>
  <c r="H118" i="3"/>
  <c r="H22" i="3"/>
  <c r="G109" i="3"/>
  <c r="H31" i="3"/>
  <c r="G13" i="3"/>
  <c r="H131" i="3"/>
  <c r="H28" i="3"/>
  <c r="H136" i="3"/>
  <c r="H60" i="3"/>
  <c r="H27" i="3"/>
  <c r="H113" i="3"/>
  <c r="G94" i="3"/>
  <c r="H67" i="3"/>
  <c r="H137" i="3"/>
  <c r="G78" i="3"/>
  <c r="G120" i="3"/>
  <c r="G53" i="3"/>
  <c r="G140" i="3"/>
  <c r="H110" i="3"/>
  <c r="H132" i="3"/>
  <c r="G52" i="3"/>
  <c r="H75" i="3"/>
  <c r="G121" i="3"/>
  <c r="H47" i="3"/>
  <c r="G85" i="3"/>
  <c r="G30" i="3"/>
  <c r="H139" i="3"/>
  <c r="G18" i="3"/>
  <c r="H102" i="3"/>
  <c r="H124" i="3"/>
  <c r="G22" i="3"/>
  <c r="H61" i="3"/>
  <c r="G124" i="3"/>
  <c r="F8" i="3"/>
  <c r="E60" i="3"/>
  <c r="F4" i="3"/>
  <c r="F42" i="3"/>
  <c r="F44" i="3"/>
  <c r="E82" i="3"/>
  <c r="E103" i="3"/>
  <c r="F66" i="3"/>
  <c r="E33" i="3"/>
  <c r="F18" i="3"/>
  <c r="F69" i="3"/>
  <c r="E54" i="3"/>
  <c r="E137" i="3"/>
  <c r="E58" i="3"/>
  <c r="E23" i="3"/>
  <c r="E78" i="3"/>
  <c r="E94" i="3"/>
  <c r="F111" i="3"/>
  <c r="E84" i="3"/>
  <c r="E87" i="3"/>
  <c r="F126" i="3"/>
  <c r="F101" i="3"/>
  <c r="E129" i="3"/>
  <c r="F32" i="3"/>
  <c r="F125" i="3"/>
  <c r="F116" i="3"/>
  <c r="F91" i="3"/>
  <c r="F117" i="3"/>
  <c r="E130" i="3"/>
  <c r="F28" i="3"/>
  <c r="F79" i="3"/>
  <c r="F118" i="3"/>
  <c r="E37" i="3"/>
  <c r="E121" i="3"/>
  <c r="E71" i="3"/>
  <c r="E36" i="3"/>
  <c r="E66" i="3"/>
  <c r="E98" i="3"/>
  <c r="E10" i="3"/>
  <c r="E116" i="3"/>
  <c r="E16" i="3"/>
  <c r="E102" i="3"/>
  <c r="E95" i="3"/>
  <c r="F142" i="3"/>
  <c r="E6" i="3"/>
  <c r="F109" i="3"/>
  <c r="E75" i="3"/>
  <c r="F26" i="3"/>
  <c r="F2" i="3"/>
  <c r="F17" i="3"/>
  <c r="E25" i="3"/>
  <c r="E46" i="3"/>
  <c r="E22" i="3"/>
  <c r="F7" i="3"/>
  <c r="E7" i="3"/>
  <c r="E31" i="3"/>
  <c r="F70" i="3"/>
  <c r="E64" i="3"/>
  <c r="E145" i="3"/>
  <c r="F60" i="3"/>
  <c r="F105" i="3"/>
  <c r="E52" i="3"/>
  <c r="F85" i="3"/>
  <c r="F11" i="3"/>
  <c r="F34" i="3"/>
  <c r="F21" i="3"/>
  <c r="E68" i="3"/>
  <c r="F132" i="3"/>
  <c r="F129" i="3"/>
  <c r="F136" i="3"/>
  <c r="E100" i="3"/>
  <c r="F50" i="3"/>
  <c r="E133" i="3"/>
  <c r="E12" i="3"/>
  <c r="F97" i="3"/>
  <c r="E11" i="3"/>
  <c r="F96" i="3"/>
  <c r="F6" i="3"/>
  <c r="F74" i="3"/>
  <c r="F29" i="3"/>
  <c r="F107" i="3"/>
  <c r="E39" i="3"/>
  <c r="F49" i="3"/>
  <c r="F83" i="3"/>
  <c r="E92" i="3"/>
  <c r="E65" i="3"/>
  <c r="F52" i="3"/>
  <c r="E30" i="3"/>
  <c r="E91" i="3"/>
  <c r="F89" i="3"/>
  <c r="E45" i="3"/>
  <c r="F137" i="3"/>
  <c r="E3" i="3"/>
  <c r="E118" i="3"/>
  <c r="F145" i="3"/>
  <c r="F80" i="3"/>
  <c r="H57" i="3"/>
  <c r="G31" i="3"/>
  <c r="G26" i="3"/>
  <c r="G60" i="3"/>
  <c r="H48" i="3"/>
  <c r="G123" i="3"/>
  <c r="G3" i="3"/>
  <c r="G133" i="3"/>
  <c r="H89" i="3"/>
  <c r="G116" i="3"/>
  <c r="G61" i="3"/>
  <c r="G73" i="3"/>
  <c r="H50" i="3"/>
  <c r="G32" i="3"/>
  <c r="G101" i="3"/>
  <c r="H120" i="3"/>
  <c r="H45" i="3"/>
  <c r="H133" i="3"/>
  <c r="G45" i="3"/>
  <c r="G54" i="3"/>
  <c r="G55" i="3"/>
  <c r="H17" i="3"/>
  <c r="G15" i="3"/>
  <c r="H100" i="3"/>
  <c r="H35" i="3"/>
  <c r="G80" i="3"/>
  <c r="G7" i="3"/>
  <c r="G38" i="3"/>
  <c r="H92" i="3"/>
  <c r="G93" i="3"/>
  <c r="H84" i="3"/>
  <c r="H53" i="3"/>
  <c r="H16" i="3"/>
  <c r="G39" i="3"/>
  <c r="G2" i="3"/>
  <c r="G130" i="3"/>
  <c r="H58" i="3"/>
  <c r="H56" i="3"/>
  <c r="H106" i="3"/>
  <c r="H11" i="3"/>
  <c r="H8" i="3"/>
  <c r="G99" i="3"/>
  <c r="H59" i="3"/>
  <c r="G122" i="3"/>
  <c r="H21" i="3"/>
  <c r="H68" i="3"/>
  <c r="G95" i="3"/>
  <c r="H126" i="3"/>
  <c r="H96" i="3"/>
  <c r="H143" i="3"/>
  <c r="H36" i="3"/>
  <c r="G24" i="3"/>
  <c r="H26" i="3"/>
  <c r="G6" i="3"/>
  <c r="H144" i="3"/>
  <c r="H13" i="3"/>
  <c r="H43" i="3"/>
  <c r="H145" i="3"/>
  <c r="H109" i="3"/>
  <c r="G44" i="3"/>
  <c r="H91" i="3"/>
  <c r="H81" i="3"/>
  <c r="G79" i="3"/>
  <c r="G47" i="3"/>
  <c r="G97" i="3"/>
  <c r="G69" i="3"/>
  <c r="G67" i="3"/>
  <c r="H30" i="3"/>
  <c r="H5" i="3"/>
  <c r="G75" i="3"/>
  <c r="H73" i="3"/>
  <c r="G141" i="3"/>
  <c r="G43" i="3"/>
  <c r="H55" i="3"/>
  <c r="G82" i="3"/>
  <c r="G50" i="3"/>
  <c r="G89" i="3"/>
  <c r="H127" i="3"/>
  <c r="H97" i="3"/>
  <c r="H62" i="3"/>
  <c r="G65" i="3"/>
  <c r="G81" i="3"/>
  <c r="H128" i="3"/>
  <c r="G33" i="3"/>
  <c r="G139" i="3"/>
  <c r="G19" i="3"/>
  <c r="G77" i="3"/>
  <c r="H105" i="3"/>
  <c r="G63" i="3"/>
  <c r="H129" i="3"/>
  <c r="G49" i="3"/>
  <c r="G135" i="3"/>
  <c r="H39" i="3"/>
  <c r="H40" i="3"/>
  <c r="H142" i="3"/>
  <c r="H65" i="3"/>
  <c r="F75" i="3"/>
  <c r="E5" i="3"/>
  <c r="E13" i="3"/>
  <c r="F16" i="3"/>
  <c r="F54" i="3"/>
  <c r="F51" i="3"/>
  <c r="E106" i="3"/>
  <c r="F57" i="3"/>
  <c r="F119" i="3"/>
  <c r="E142" i="3"/>
  <c r="E96" i="3"/>
  <c r="E128" i="3"/>
  <c r="E27" i="3"/>
  <c r="F59" i="3"/>
  <c r="E109" i="3"/>
  <c r="F86" i="3"/>
  <c r="F41" i="3"/>
  <c r="F144" i="3"/>
  <c r="F121" i="3"/>
  <c r="F63" i="3"/>
  <c r="E35" i="3"/>
  <c r="F55" i="3"/>
  <c r="E110" i="3"/>
  <c r="E134" i="3"/>
  <c r="E85" i="3"/>
  <c r="E135" i="3"/>
  <c r="F122" i="3"/>
  <c r="E26" i="3"/>
  <c r="E88" i="3"/>
  <c r="E50" i="3"/>
  <c r="E80" i="3"/>
  <c r="F10" i="3"/>
  <c r="E105" i="3"/>
  <c r="F45" i="3"/>
  <c r="E40" i="3"/>
  <c r="F38" i="3"/>
  <c r="F62" i="3"/>
  <c r="E124" i="3"/>
  <c r="F94" i="3"/>
  <c r="F114" i="3"/>
  <c r="F27" i="3"/>
  <c r="F65" i="3"/>
  <c r="E14" i="3"/>
  <c r="E123" i="3"/>
  <c r="E141" i="3"/>
  <c r="E90" i="3"/>
  <c r="E74" i="3"/>
  <c r="E61" i="3"/>
  <c r="F47" i="3"/>
  <c r="F106" i="3"/>
  <c r="F15" i="3"/>
  <c r="E47" i="3"/>
  <c r="E115" i="3"/>
  <c r="F71" i="3"/>
  <c r="F113" i="3"/>
  <c r="F100" i="3"/>
  <c r="E43" i="3"/>
  <c r="E83" i="3"/>
  <c r="E42" i="3"/>
  <c r="E108" i="3"/>
  <c r="F98" i="3"/>
  <c r="F24" i="3"/>
  <c r="F102" i="3"/>
  <c r="E44" i="3"/>
  <c r="E76" i="3"/>
  <c r="E20" i="3"/>
  <c r="F92" i="3"/>
  <c r="F131" i="3"/>
  <c r="F14" i="3"/>
  <c r="E127" i="3"/>
  <c r="E29" i="3"/>
  <c r="E69" i="3"/>
  <c r="F87" i="3"/>
  <c r="E101" i="3"/>
  <c r="F73" i="3"/>
  <c r="F37" i="3"/>
  <c r="F36" i="3"/>
  <c r="E99" i="3"/>
  <c r="F13" i="3"/>
  <c r="F3" i="3"/>
  <c r="F56" i="3"/>
  <c r="E111" i="3"/>
  <c r="E51" i="3"/>
  <c r="F82" i="3"/>
  <c r="F61" i="3"/>
  <c r="E93" i="3"/>
  <c r="E59" i="3"/>
  <c r="E125" i="3"/>
  <c r="F128" i="3"/>
  <c r="F140" i="3"/>
  <c r="F141" i="3"/>
  <c r="E81" i="3"/>
  <c r="E24" i="3"/>
  <c r="F76" i="3"/>
  <c r="F138" i="3"/>
  <c r="E136" i="3"/>
  <c r="H86" i="3"/>
  <c r="H82" i="3"/>
  <c r="G35" i="3"/>
  <c r="G74" i="3"/>
  <c r="G96" i="3"/>
  <c r="G119" i="3"/>
  <c r="H33" i="3"/>
  <c r="H108" i="3"/>
  <c r="H52" i="3"/>
  <c r="G115" i="3"/>
  <c r="H37" i="3"/>
  <c r="G138" i="3"/>
  <c r="G118" i="3"/>
  <c r="H49" i="3"/>
  <c r="G111" i="3"/>
  <c r="H42" i="3"/>
  <c r="G128" i="3"/>
  <c r="H19" i="3"/>
  <c r="H6" i="3"/>
  <c r="H95" i="3"/>
  <c r="G103" i="3"/>
  <c r="H103" i="3"/>
  <c r="G36" i="3"/>
  <c r="H69" i="3"/>
  <c r="H72" i="3"/>
  <c r="G83" i="3"/>
  <c r="H125" i="3"/>
  <c r="G100" i="3"/>
  <c r="H107" i="3"/>
  <c r="G76" i="3"/>
  <c r="G20" i="3"/>
  <c r="G84" i="3"/>
  <c r="H2" i="3"/>
  <c r="G144" i="3"/>
  <c r="H116" i="3"/>
  <c r="H78" i="3"/>
  <c r="H14" i="3"/>
  <c r="H117" i="3"/>
  <c r="H99" i="3"/>
  <c r="H85" i="3"/>
  <c r="G12" i="3"/>
  <c r="H94" i="3"/>
  <c r="H98" i="3"/>
  <c r="G46" i="3"/>
  <c r="G10" i="3"/>
  <c r="G127" i="3"/>
  <c r="G28" i="3"/>
  <c r="G48" i="3"/>
  <c r="G105" i="3"/>
  <c r="G37" i="3"/>
  <c r="G91" i="3"/>
  <c r="H77" i="3"/>
  <c r="G68" i="3"/>
  <c r="H24" i="3"/>
  <c r="H141" i="3"/>
  <c r="H4" i="3"/>
  <c r="G4" i="3"/>
  <c r="H90" i="3"/>
  <c r="H64" i="3"/>
  <c r="H140" i="3"/>
  <c r="H135" i="3"/>
  <c r="G41" i="3"/>
  <c r="H54" i="3"/>
  <c r="H134" i="3"/>
  <c r="G145" i="3"/>
  <c r="G113" i="3"/>
  <c r="G137" i="3"/>
  <c r="G70" i="3"/>
  <c r="G23" i="3"/>
  <c r="G106" i="3"/>
  <c r="G42" i="3"/>
  <c r="G143" i="3"/>
  <c r="G9" i="3"/>
  <c r="H63" i="3"/>
  <c r="G90" i="3"/>
  <c r="H23" i="3"/>
  <c r="G17" i="3"/>
  <c r="H104" i="3"/>
  <c r="G27" i="3"/>
  <c r="G62" i="3"/>
  <c r="G132" i="3"/>
  <c r="G98" i="3"/>
  <c r="G71" i="3"/>
  <c r="H70" i="3"/>
  <c r="G112" i="3"/>
  <c r="H44" i="3"/>
  <c r="H138" i="3"/>
  <c r="H74" i="3"/>
  <c r="G88" i="3"/>
  <c r="H119" i="3"/>
  <c r="H88" i="3"/>
  <c r="H15" i="3"/>
  <c r="H121" i="3"/>
  <c r="G21" i="3"/>
  <c r="H66" i="3"/>
  <c r="H51" i="3"/>
  <c r="E48" i="3"/>
  <c r="E9" i="3"/>
  <c r="E17" i="3"/>
  <c r="F12" i="3"/>
  <c r="E28" i="3"/>
  <c r="F22" i="3"/>
  <c r="F20" i="3"/>
  <c r="F88" i="3"/>
  <c r="E140" i="3"/>
  <c r="F9" i="3"/>
  <c r="F40" i="3"/>
  <c r="F130" i="3"/>
  <c r="E57" i="3"/>
  <c r="F120" i="3"/>
  <c r="E113" i="3"/>
  <c r="E139" i="3"/>
  <c r="E67" i="3"/>
  <c r="F133" i="3"/>
  <c r="F124" i="3"/>
  <c r="F99" i="3"/>
  <c r="E138" i="3"/>
  <c r="E132" i="3"/>
  <c r="F25" i="3"/>
  <c r="F58" i="3"/>
  <c r="E73" i="3"/>
  <c r="E131" i="3"/>
  <c r="E143" i="3"/>
  <c r="E70" i="3"/>
  <c r="F93" i="3"/>
  <c r="E34" i="3"/>
  <c r="F108" i="3"/>
  <c r="E2" i="3"/>
  <c r="E114" i="3"/>
  <c r="F103" i="3"/>
  <c r="F72" i="3"/>
  <c r="F48" i="3"/>
  <c r="E97" i="3"/>
  <c r="E49" i="3"/>
  <c r="E62" i="3"/>
  <c r="E21" i="3"/>
  <c r="F95" i="3"/>
  <c r="E15" i="3"/>
  <c r="F110" i="3"/>
  <c r="F23" i="3"/>
  <c r="F33" i="3"/>
  <c r="E89" i="3"/>
  <c r="E126" i="3"/>
  <c r="F139" i="3"/>
  <c r="F19" i="3"/>
  <c r="E38" i="3"/>
  <c r="F112" i="3"/>
  <c r="E63" i="3"/>
  <c r="E122" i="3"/>
  <c r="E104" i="3"/>
  <c r="F35" i="3"/>
  <c r="F53" i="3"/>
  <c r="E8" i="3"/>
  <c r="F134" i="3"/>
  <c r="F77" i="3"/>
  <c r="E107" i="3"/>
  <c r="E56" i="3"/>
  <c r="E19" i="3"/>
  <c r="F31" i="3"/>
  <c r="F68" i="3"/>
  <c r="F104" i="3"/>
  <c r="F64" i="3"/>
  <c r="E41" i="3"/>
  <c r="F81" i="3"/>
  <c r="F78" i="3"/>
  <c r="F67" i="3"/>
  <c r="F143" i="3"/>
  <c r="E79" i="3"/>
  <c r="E18" i="3"/>
  <c r="F90" i="3"/>
  <c r="E120" i="3"/>
  <c r="F46" i="3"/>
  <c r="E119" i="3"/>
  <c r="F84" i="3"/>
  <c r="F123" i="3"/>
  <c r="E77" i="3"/>
  <c r="F43" i="3"/>
  <c r="E72" i="3"/>
  <c r="F135" i="3"/>
  <c r="F39" i="3"/>
  <c r="E32" i="3"/>
  <c r="E112" i="3"/>
  <c r="E144" i="3"/>
  <c r="E4" i="3"/>
  <c r="F5" i="3"/>
  <c r="F115" i="3"/>
  <c r="E55" i="3"/>
  <c r="F30" i="3"/>
  <c r="E53" i="3"/>
  <c r="F127" i="3"/>
  <c r="E117" i="3"/>
  <c r="E86" i="3"/>
</calcChain>
</file>

<file path=xl/sharedStrings.xml><?xml version="1.0" encoding="utf-8"?>
<sst xmlns="http://schemas.openxmlformats.org/spreadsheetml/2006/main" count="473" uniqueCount="38">
  <si>
    <t>prob1</t>
  </si>
  <si>
    <t>prob2</t>
  </si>
  <si>
    <t>mag1</t>
  </si>
  <si>
    <t>mag2</t>
  </si>
  <si>
    <t>reward</t>
  </si>
  <si>
    <t>resp_type</t>
  </si>
  <si>
    <t>resp_img</t>
  </si>
  <si>
    <t>trial_ID</t>
  </si>
  <si>
    <t>button</t>
  </si>
  <si>
    <t>stim/button_press.png</t>
  </si>
  <si>
    <t>gaze</t>
  </si>
  <si>
    <t>stim/eyes.png</t>
  </si>
  <si>
    <t>n_edges_left</t>
  </si>
  <si>
    <t>n_edges_right</t>
  </si>
  <si>
    <t>color_left</t>
  </si>
  <si>
    <t>color_right</t>
  </si>
  <si>
    <t>edges</t>
  </si>
  <si>
    <t>color</t>
  </si>
  <si>
    <t>mag</t>
  </si>
  <si>
    <t>prob</t>
  </si>
  <si>
    <t>Fuchsia</t>
  </si>
  <si>
    <t>gold</t>
  </si>
  <si>
    <t>DeepSkyBlue</t>
  </si>
  <si>
    <t>rand1</t>
  </si>
  <si>
    <t>rand2</t>
  </si>
  <si>
    <t>aux1</t>
  </si>
  <si>
    <t>aux2</t>
  </si>
  <si>
    <t>aux4</t>
  </si>
  <si>
    <t>aux3</t>
  </si>
  <si>
    <t>aux_color</t>
  </si>
  <si>
    <t>money</t>
  </si>
  <si>
    <t>p1</t>
  </si>
  <si>
    <t>p2</t>
  </si>
  <si>
    <t>m1</t>
  </si>
  <si>
    <t>m2</t>
  </si>
  <si>
    <t>random</t>
  </si>
  <si>
    <t>rows_rand</t>
  </si>
  <si>
    <t>ROW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</si>
</sst>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3</xdr:row>
          <xdr:rowOff>22860</xdr:rowOff>
        </xdr:from>
        <xdr:to>
          <xdr:col>16</xdr:col>
          <xdr:colOff>594360</xdr:colOff>
          <xdr:row>9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MONEY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5"/>
  <sheetViews>
    <sheetView workbookViewId="0"/>
  </sheetViews>
  <sheetFormatPr defaultColWidth="8.88671875" defaultRowHeight="14.4" x14ac:dyDescent="0.3"/>
  <cols>
    <col min="5" max="5" width="13.5546875" bestFit="1" customWidth="1"/>
    <col min="6" max="6" width="13.6640625" bestFit="1" customWidth="1"/>
    <col min="7" max="7" width="9.5546875" bestFit="1" customWidth="1"/>
    <col min="8" max="8" width="10.5546875" bestFit="1" customWidth="1"/>
    <col min="10" max="10" width="21.109375" customWidth="1"/>
    <col min="12" max="12" width="5.33203125" bestFit="1" customWidth="1"/>
    <col min="14" max="14" width="2" bestFit="1" customWidth="1"/>
    <col min="15" max="15" width="3" bestFit="1" customWidth="1"/>
    <col min="16" max="16" width="2" bestFit="1" customWidth="1"/>
    <col min="18" max="18" width="11.44140625" bestFit="1" customWidth="1"/>
    <col min="20" max="20" width="2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12</v>
      </c>
      <c r="F1" t="s">
        <v>13</v>
      </c>
      <c r="G1" t="s">
        <v>14</v>
      </c>
      <c r="H1" t="s">
        <v>15</v>
      </c>
      <c r="I1" t="s">
        <v>5</v>
      </c>
      <c r="J1" t="s">
        <v>6</v>
      </c>
      <c r="K1" t="s">
        <v>4</v>
      </c>
      <c r="L1" t="s">
        <v>7</v>
      </c>
    </row>
    <row r="2" spans="1:12" x14ac:dyDescent="0.3">
      <c r="A2">
        <f>+VLOOKUP(Sheet1!$D21,cond_inter!$A$2:$I$145,2,0)</f>
        <v>0.5</v>
      </c>
      <c r="B2">
        <f>+VLOOKUP(Sheet1!$D21,cond_inter!$A$2:$I$145,3,0)</f>
        <v>0.5</v>
      </c>
      <c r="C2">
        <f>+VLOOKUP(Sheet1!$D21,cond_inter!$A$2:$I$145,4,0)</f>
        <v>1</v>
      </c>
      <c r="D2">
        <f>+VLOOKUP(Sheet1!$D21,cond_inter!$A$2:$I$145,5,0)</f>
        <v>3</v>
      </c>
      <c r="E2">
        <f>+VLOOKUP(C2,Sheet1!$A$2:$B$4,2,0)</f>
        <v>3</v>
      </c>
      <c r="F2">
        <f>+VLOOKUP(D2,Sheet1!$A$2:$B$4,2,0)</f>
        <v>90</v>
      </c>
      <c r="G2" t="str">
        <f>+VLOOKUP(A2,Sheet1!$G$2:$H$4,2,0)</f>
        <v>DeepSkyBlue</v>
      </c>
      <c r="H2" t="str">
        <f>+VLOOKUP(B2,Sheet1!$G$2:$H$4,2,0)</f>
        <v>DeepSkyBlue</v>
      </c>
      <c r="I2" t="str">
        <f>+VLOOKUP(Sheet1!$D21,cond_inter!$A$2:$I$145,6,0)</f>
        <v>button</v>
      </c>
      <c r="J2" t="str">
        <f>+VLOOKUP(Sheet1!$D21,cond_inter!$A$2:$I$145,7,0)</f>
        <v>stim/button_press.png</v>
      </c>
      <c r="K2" t="str">
        <f>+VLOOKUP(Sheet1!$D21,cond_inter!$A$2:$I$145,8,0)</f>
        <v>money</v>
      </c>
      <c r="L2">
        <f>+VLOOKUP(Sheet1!$D21,cond_inter!$A$2:$I$145,9,0)</f>
        <v>51</v>
      </c>
    </row>
    <row r="3" spans="1:12" x14ac:dyDescent="0.3">
      <c r="A3">
        <f>+VLOOKUP(Sheet1!$D22,cond_inter!$A$2:$I$145,2,0)</f>
        <v>0.5</v>
      </c>
      <c r="B3">
        <f>+VLOOKUP(Sheet1!$D22,cond_inter!$A$2:$I$145,3,0)</f>
        <v>0.5</v>
      </c>
      <c r="C3">
        <f>+VLOOKUP(Sheet1!$D22,cond_inter!$A$2:$I$145,4,0)</f>
        <v>1</v>
      </c>
      <c r="D3">
        <f>+VLOOKUP(Sheet1!$D22,cond_inter!$A$2:$I$145,5,0)</f>
        <v>2</v>
      </c>
      <c r="E3">
        <f>+VLOOKUP(C3,Sheet1!$A$2:$B$4,2,0)</f>
        <v>3</v>
      </c>
      <c r="F3">
        <f>+VLOOKUP(D3,Sheet1!$A$2:$B$4,2,0)</f>
        <v>4</v>
      </c>
      <c r="G3" t="str">
        <f>+VLOOKUP(A3,Sheet1!$G$2:$H$4,2,0)</f>
        <v>DeepSkyBlue</v>
      </c>
      <c r="H3" t="str">
        <f>+VLOOKUP(B3,Sheet1!$G$2:$H$4,2,0)</f>
        <v>DeepSkyBlue</v>
      </c>
      <c r="I3" t="str">
        <f>+VLOOKUP(Sheet1!$D22,cond_inter!$A$2:$I$145,6,0)</f>
        <v>gaze</v>
      </c>
      <c r="J3" t="str">
        <f>+VLOOKUP(Sheet1!$D22,cond_inter!$A$2:$I$145,7,0)</f>
        <v>stim/eyes.png</v>
      </c>
      <c r="K3" t="str">
        <f>+VLOOKUP(Sheet1!$D22,cond_inter!$A$2:$I$145,8,0)</f>
        <v>money</v>
      </c>
      <c r="L3">
        <f>+VLOOKUP(Sheet1!$D22,cond_inter!$A$2:$I$145,9,0)</f>
        <v>81</v>
      </c>
    </row>
    <row r="4" spans="1:12" x14ac:dyDescent="0.3">
      <c r="A4">
        <f>+VLOOKUP(Sheet1!$D23,cond_inter!$A$2:$I$145,2,0)</f>
        <v>0.5</v>
      </c>
      <c r="B4">
        <f>+VLOOKUP(Sheet1!$D23,cond_inter!$A$2:$I$145,3,0)</f>
        <v>0.25</v>
      </c>
      <c r="C4">
        <f>+VLOOKUP(Sheet1!$D23,cond_inter!$A$2:$I$145,4,0)</f>
        <v>2</v>
      </c>
      <c r="D4">
        <f>+VLOOKUP(Sheet1!$D23,cond_inter!$A$2:$I$145,5,0)</f>
        <v>2</v>
      </c>
      <c r="E4">
        <f>+VLOOKUP(C4,Sheet1!$A$2:$B$4,2,0)</f>
        <v>4</v>
      </c>
      <c r="F4">
        <f>+VLOOKUP(D4,Sheet1!$A$2:$B$4,2,0)</f>
        <v>4</v>
      </c>
      <c r="G4" t="str">
        <f>+VLOOKUP(A4,Sheet1!$G$2:$H$4,2,0)</f>
        <v>DeepSkyBlue</v>
      </c>
      <c r="H4" t="str">
        <f>+VLOOKUP(B4,Sheet1!$G$2:$H$4,2,0)</f>
        <v>gold</v>
      </c>
      <c r="I4" t="str">
        <f>+VLOOKUP(Sheet1!$D23,cond_inter!$A$2:$I$145,6,0)</f>
        <v>gaze</v>
      </c>
      <c r="J4" t="str">
        <f>+VLOOKUP(Sheet1!$D23,cond_inter!$A$2:$I$145,7,0)</f>
        <v>stim/eyes.png</v>
      </c>
      <c r="K4" t="str">
        <f>+VLOOKUP(Sheet1!$D23,cond_inter!$A$2:$I$145,8,0)</f>
        <v>money</v>
      </c>
      <c r="L4">
        <f>+VLOOKUP(Sheet1!$D23,cond_inter!$A$2:$I$145,9,0)</f>
        <v>75</v>
      </c>
    </row>
    <row r="5" spans="1:12" x14ac:dyDescent="0.3">
      <c r="A5">
        <f>+VLOOKUP(Sheet1!$D24,cond_inter!$A$2:$I$145,2,0)</f>
        <v>0.75</v>
      </c>
      <c r="B5">
        <f>+VLOOKUP(Sheet1!$D24,cond_inter!$A$2:$I$145,3,0)</f>
        <v>0.5</v>
      </c>
      <c r="C5">
        <f>+VLOOKUP(Sheet1!$D24,cond_inter!$A$2:$I$145,4,0)</f>
        <v>1</v>
      </c>
      <c r="D5">
        <f>+VLOOKUP(Sheet1!$D24,cond_inter!$A$2:$I$145,5,0)</f>
        <v>3</v>
      </c>
      <c r="E5">
        <f>+VLOOKUP(C5,Sheet1!$A$2:$B$4,2,0)</f>
        <v>3</v>
      </c>
      <c r="F5">
        <f>+VLOOKUP(D5,Sheet1!$A$2:$B$4,2,0)</f>
        <v>90</v>
      </c>
      <c r="G5" t="str">
        <f>+VLOOKUP(A5,Sheet1!$G$2:$H$4,2,0)</f>
        <v>Fuchsia</v>
      </c>
      <c r="H5" t="str">
        <f>+VLOOKUP(B5,Sheet1!$G$2:$H$4,2,0)</f>
        <v>DeepSkyBlue</v>
      </c>
      <c r="I5" t="str">
        <f>+VLOOKUP(Sheet1!$D24,cond_inter!$A$2:$I$145,6,0)</f>
        <v>gaze</v>
      </c>
      <c r="J5" t="str">
        <f>+VLOOKUP(Sheet1!$D24,cond_inter!$A$2:$I$145,7,0)</f>
        <v>stim/eyes.png</v>
      </c>
      <c r="K5" t="str">
        <f>+VLOOKUP(Sheet1!$D24,cond_inter!$A$2:$I$145,8,0)</f>
        <v>money</v>
      </c>
      <c r="L5">
        <f>+VLOOKUP(Sheet1!$D24,cond_inter!$A$2:$I$145,9,0)</f>
        <v>143</v>
      </c>
    </row>
    <row r="6" spans="1:12" x14ac:dyDescent="0.3">
      <c r="A6">
        <f>+VLOOKUP(Sheet1!$D25,cond_inter!$A$2:$I$145,2,0)</f>
        <v>0.75</v>
      </c>
      <c r="B6">
        <f>+VLOOKUP(Sheet1!$D25,cond_inter!$A$2:$I$145,3,0)</f>
        <v>0.25</v>
      </c>
      <c r="C6">
        <f>+VLOOKUP(Sheet1!$D25,cond_inter!$A$2:$I$145,4,0)</f>
        <v>2</v>
      </c>
      <c r="D6">
        <f>+VLOOKUP(Sheet1!$D25,cond_inter!$A$2:$I$145,5,0)</f>
        <v>1</v>
      </c>
      <c r="E6">
        <f>+VLOOKUP(C6,Sheet1!$A$2:$B$4,2,0)</f>
        <v>4</v>
      </c>
      <c r="F6">
        <f>+VLOOKUP(D6,Sheet1!$A$2:$B$4,2,0)</f>
        <v>3</v>
      </c>
      <c r="G6" t="str">
        <f>+VLOOKUP(A6,Sheet1!$G$2:$H$4,2,0)</f>
        <v>Fuchsia</v>
      </c>
      <c r="H6" t="str">
        <f>+VLOOKUP(B6,Sheet1!$G$2:$H$4,2,0)</f>
        <v>gold</v>
      </c>
      <c r="I6" t="str">
        <f>+VLOOKUP(Sheet1!$D25,cond_inter!$A$2:$I$145,6,0)</f>
        <v>button</v>
      </c>
      <c r="J6" t="str">
        <f>+VLOOKUP(Sheet1!$D25,cond_inter!$A$2:$I$145,7,0)</f>
        <v>stim/button_press.png</v>
      </c>
      <c r="K6" t="str">
        <f>+VLOOKUP(Sheet1!$D25,cond_inter!$A$2:$I$145,8,0)</f>
        <v>money</v>
      </c>
      <c r="L6">
        <f>+VLOOKUP(Sheet1!$D25,cond_inter!$A$2:$I$145,9,0)</f>
        <v>115</v>
      </c>
    </row>
    <row r="7" spans="1:12" x14ac:dyDescent="0.3">
      <c r="A7">
        <f>+VLOOKUP(Sheet1!$D26,cond_inter!$A$2:$I$145,2,0)</f>
        <v>0.5</v>
      </c>
      <c r="B7">
        <f>+VLOOKUP(Sheet1!$D26,cond_inter!$A$2:$I$145,3,0)</f>
        <v>0.75</v>
      </c>
      <c r="C7">
        <f>+VLOOKUP(Sheet1!$D26,cond_inter!$A$2:$I$145,4,0)</f>
        <v>2</v>
      </c>
      <c r="D7">
        <f>+VLOOKUP(Sheet1!$D26,cond_inter!$A$2:$I$145,5,0)</f>
        <v>1</v>
      </c>
      <c r="E7">
        <f>+VLOOKUP(C7,Sheet1!$A$2:$B$4,2,0)</f>
        <v>4</v>
      </c>
      <c r="F7">
        <f>+VLOOKUP(D7,Sheet1!$A$2:$B$4,2,0)</f>
        <v>3</v>
      </c>
      <c r="G7" t="str">
        <f>+VLOOKUP(A7,Sheet1!$G$2:$H$4,2,0)</f>
        <v>DeepSkyBlue</v>
      </c>
      <c r="H7" t="str">
        <f>+VLOOKUP(B7,Sheet1!$G$2:$H$4,2,0)</f>
        <v>Fuchsia</v>
      </c>
      <c r="I7" t="str">
        <f>+VLOOKUP(Sheet1!$D26,cond_inter!$A$2:$I$145,6,0)</f>
        <v>button</v>
      </c>
      <c r="J7" t="str">
        <f>+VLOOKUP(Sheet1!$D26,cond_inter!$A$2:$I$145,7,0)</f>
        <v>stim/button_press.png</v>
      </c>
      <c r="K7" t="str">
        <f>+VLOOKUP(Sheet1!$D26,cond_inter!$A$2:$I$145,8,0)</f>
        <v>money</v>
      </c>
      <c r="L7">
        <f>+VLOOKUP(Sheet1!$D26,cond_inter!$A$2:$I$145,9,0)</f>
        <v>70</v>
      </c>
    </row>
    <row r="8" spans="1:12" x14ac:dyDescent="0.3">
      <c r="A8">
        <f>+VLOOKUP(Sheet1!$D27,cond_inter!$A$2:$I$145,2,0)</f>
        <v>0.5</v>
      </c>
      <c r="B8">
        <f>+VLOOKUP(Sheet1!$D27,cond_inter!$A$2:$I$145,3,0)</f>
        <v>0.75</v>
      </c>
      <c r="C8">
        <f>+VLOOKUP(Sheet1!$D27,cond_inter!$A$2:$I$145,4,0)</f>
        <v>3</v>
      </c>
      <c r="D8">
        <f>+VLOOKUP(Sheet1!$D27,cond_inter!$A$2:$I$145,5,0)</f>
        <v>2</v>
      </c>
      <c r="E8">
        <f>+VLOOKUP(C8,Sheet1!$A$2:$B$4,2,0)</f>
        <v>90</v>
      </c>
      <c r="F8">
        <f>+VLOOKUP(D8,Sheet1!$A$2:$B$4,2,0)</f>
        <v>4</v>
      </c>
      <c r="G8" t="str">
        <f>+VLOOKUP(A8,Sheet1!$G$2:$H$4,2,0)</f>
        <v>DeepSkyBlue</v>
      </c>
      <c r="H8" t="str">
        <f>+VLOOKUP(B8,Sheet1!$G$2:$H$4,2,0)</f>
        <v>Fuchsia</v>
      </c>
      <c r="I8" t="str">
        <f>+VLOOKUP(Sheet1!$D27,cond_inter!$A$2:$I$145,6,0)</f>
        <v>button</v>
      </c>
      <c r="J8" t="str">
        <f>+VLOOKUP(Sheet1!$D27,cond_inter!$A$2:$I$145,7,0)</f>
        <v>stim/button_press.png</v>
      </c>
      <c r="K8" t="str">
        <f>+VLOOKUP(Sheet1!$D27,cond_inter!$A$2:$I$145,8,0)</f>
        <v>money</v>
      </c>
      <c r="L8">
        <f>+VLOOKUP(Sheet1!$D27,cond_inter!$A$2:$I$145,9,0)</f>
        <v>58</v>
      </c>
    </row>
    <row r="9" spans="1:12" x14ac:dyDescent="0.3">
      <c r="A9">
        <f>+VLOOKUP(Sheet1!$D28,cond_inter!$A$2:$I$145,2,0)</f>
        <v>0.25</v>
      </c>
      <c r="B9">
        <f>+VLOOKUP(Sheet1!$D28,cond_inter!$A$2:$I$145,3,0)</f>
        <v>0.25</v>
      </c>
      <c r="C9">
        <f>+VLOOKUP(Sheet1!$D28,cond_inter!$A$2:$I$145,4,0)</f>
        <v>3</v>
      </c>
      <c r="D9">
        <f>+VLOOKUP(Sheet1!$D28,cond_inter!$A$2:$I$145,5,0)</f>
        <v>1</v>
      </c>
      <c r="E9">
        <f>+VLOOKUP(C9,Sheet1!$A$2:$B$4,2,0)</f>
        <v>90</v>
      </c>
      <c r="F9">
        <f>+VLOOKUP(D9,Sheet1!$A$2:$B$4,2,0)</f>
        <v>3</v>
      </c>
      <c r="G9" t="str">
        <f>+VLOOKUP(A9,Sheet1!$G$2:$H$4,2,0)</f>
        <v>gold</v>
      </c>
      <c r="H9" t="str">
        <f>+VLOOKUP(B9,Sheet1!$G$2:$H$4,2,0)</f>
        <v>gold</v>
      </c>
      <c r="I9" t="str">
        <f>+VLOOKUP(Sheet1!$D28,cond_inter!$A$2:$I$145,6,0)</f>
        <v>button</v>
      </c>
      <c r="J9" t="str">
        <f>+VLOOKUP(Sheet1!$D28,cond_inter!$A$2:$I$145,7,0)</f>
        <v>stim/button_press.png</v>
      </c>
      <c r="K9" t="str">
        <f>+VLOOKUP(Sheet1!$D28,cond_inter!$A$2:$I$145,8,0)</f>
        <v>money</v>
      </c>
      <c r="L9">
        <f>+VLOOKUP(Sheet1!$D28,cond_inter!$A$2:$I$145,9,0)</f>
        <v>22</v>
      </c>
    </row>
    <row r="10" spans="1:12" x14ac:dyDescent="0.3">
      <c r="A10">
        <f>+VLOOKUP(Sheet1!$D29,cond_inter!$A$2:$I$145,2,0)</f>
        <v>0.75</v>
      </c>
      <c r="B10">
        <f>+VLOOKUP(Sheet1!$D29,cond_inter!$A$2:$I$145,3,0)</f>
        <v>0.25</v>
      </c>
      <c r="C10">
        <f>+VLOOKUP(Sheet1!$D29,cond_inter!$A$2:$I$145,4,0)</f>
        <v>3</v>
      </c>
      <c r="D10">
        <f>+VLOOKUP(Sheet1!$D29,cond_inter!$A$2:$I$145,5,0)</f>
        <v>3</v>
      </c>
      <c r="E10">
        <f>+VLOOKUP(C10,Sheet1!$A$2:$B$4,2,0)</f>
        <v>90</v>
      </c>
      <c r="F10">
        <f>+VLOOKUP(D10,Sheet1!$A$2:$B$4,2,0)</f>
        <v>90</v>
      </c>
      <c r="G10" t="str">
        <f>+VLOOKUP(A10,Sheet1!$G$2:$H$4,2,0)</f>
        <v>Fuchsia</v>
      </c>
      <c r="H10" t="str">
        <f>+VLOOKUP(B10,Sheet1!$G$2:$H$4,2,0)</f>
        <v>gold</v>
      </c>
      <c r="I10" t="str">
        <f>+VLOOKUP(Sheet1!$D29,cond_inter!$A$2:$I$145,6,0)</f>
        <v>button</v>
      </c>
      <c r="J10" t="str">
        <f>+VLOOKUP(Sheet1!$D29,cond_inter!$A$2:$I$145,7,0)</f>
        <v>stim/button_press.png</v>
      </c>
      <c r="K10" t="str">
        <f>+VLOOKUP(Sheet1!$D29,cond_inter!$A$2:$I$145,8,0)</f>
        <v>money</v>
      </c>
      <c r="L10">
        <f>+VLOOKUP(Sheet1!$D29,cond_inter!$A$2:$I$145,9,0)</f>
        <v>108</v>
      </c>
    </row>
    <row r="11" spans="1:12" x14ac:dyDescent="0.3">
      <c r="A11">
        <f>+VLOOKUP(Sheet1!$D30,cond_inter!$A$2:$I$145,2,0)</f>
        <v>0.25</v>
      </c>
      <c r="B11">
        <f>+VLOOKUP(Sheet1!$D30,cond_inter!$A$2:$I$145,3,0)</f>
        <v>0.5</v>
      </c>
      <c r="C11">
        <f>+VLOOKUP(Sheet1!$D30,cond_inter!$A$2:$I$145,4,0)</f>
        <v>2</v>
      </c>
      <c r="D11">
        <f>+VLOOKUP(Sheet1!$D30,cond_inter!$A$2:$I$145,5,0)</f>
        <v>2</v>
      </c>
      <c r="E11">
        <f>+VLOOKUP(C11,Sheet1!$A$2:$B$4,2,0)</f>
        <v>4</v>
      </c>
      <c r="F11">
        <f>+VLOOKUP(D11,Sheet1!$A$2:$B$4,2,0)</f>
        <v>4</v>
      </c>
      <c r="G11" t="str">
        <f>+VLOOKUP(A11,Sheet1!$G$2:$H$4,2,0)</f>
        <v>gold</v>
      </c>
      <c r="H11" t="str">
        <f>+VLOOKUP(B11,Sheet1!$G$2:$H$4,2,0)</f>
        <v>DeepSkyBlue</v>
      </c>
      <c r="I11" t="str">
        <f>+VLOOKUP(Sheet1!$D30,cond_inter!$A$2:$I$145,6,0)</f>
        <v>gaze</v>
      </c>
      <c r="J11" t="str">
        <f>+VLOOKUP(Sheet1!$D30,cond_inter!$A$2:$I$145,7,0)</f>
        <v>stim/eyes.png</v>
      </c>
      <c r="K11" t="str">
        <f>+VLOOKUP(Sheet1!$D30,cond_inter!$A$2:$I$145,8,0)</f>
        <v>money</v>
      </c>
      <c r="L11">
        <f>+VLOOKUP(Sheet1!$D30,cond_inter!$A$2:$I$145,9,0)</f>
        <v>24</v>
      </c>
    </row>
    <row r="12" spans="1:12" x14ac:dyDescent="0.3">
      <c r="A12">
        <f>+VLOOKUP(Sheet1!$D31,cond_inter!$A$2:$I$145,2,0)</f>
        <v>0.75</v>
      </c>
      <c r="B12">
        <f>+VLOOKUP(Sheet1!$D31,cond_inter!$A$2:$I$145,3,0)</f>
        <v>0.5</v>
      </c>
      <c r="C12">
        <f>+VLOOKUP(Sheet1!$D31,cond_inter!$A$2:$I$145,4,0)</f>
        <v>3</v>
      </c>
      <c r="D12">
        <f>+VLOOKUP(Sheet1!$D31,cond_inter!$A$2:$I$145,5,0)</f>
        <v>3</v>
      </c>
      <c r="E12">
        <f>+VLOOKUP(C12,Sheet1!$A$2:$B$4,2,0)</f>
        <v>90</v>
      </c>
      <c r="F12">
        <f>+VLOOKUP(D12,Sheet1!$A$2:$B$4,2,0)</f>
        <v>90</v>
      </c>
      <c r="G12" t="str">
        <f>+VLOOKUP(A12,Sheet1!$G$2:$H$4,2,0)</f>
        <v>Fuchsia</v>
      </c>
      <c r="H12" t="str">
        <f>+VLOOKUP(B12,Sheet1!$G$2:$H$4,2,0)</f>
        <v>DeepSkyBlue</v>
      </c>
      <c r="I12" t="str">
        <f>+VLOOKUP(Sheet1!$D31,cond_inter!$A$2:$I$145,6,0)</f>
        <v>gaze</v>
      </c>
      <c r="J12" t="str">
        <f>+VLOOKUP(Sheet1!$D31,cond_inter!$A$2:$I$145,7,0)</f>
        <v>stim/eyes.png</v>
      </c>
      <c r="K12" t="str">
        <f>+VLOOKUP(Sheet1!$D31,cond_inter!$A$2:$I$145,8,0)</f>
        <v>money</v>
      </c>
      <c r="L12">
        <f>+VLOOKUP(Sheet1!$D31,cond_inter!$A$2:$I$145,9,0)</f>
        <v>142</v>
      </c>
    </row>
    <row r="13" spans="1:12" x14ac:dyDescent="0.3">
      <c r="A13">
        <f>+VLOOKUP(Sheet1!$D32,cond_inter!$A$2:$I$145,2,0)</f>
        <v>0.5</v>
      </c>
      <c r="B13">
        <f>+VLOOKUP(Sheet1!$D32,cond_inter!$A$2:$I$145,3,0)</f>
        <v>0.25</v>
      </c>
      <c r="C13">
        <f>+VLOOKUP(Sheet1!$D32,cond_inter!$A$2:$I$145,4,0)</f>
        <v>2</v>
      </c>
      <c r="D13">
        <f>+VLOOKUP(Sheet1!$D32,cond_inter!$A$2:$I$145,5,0)</f>
        <v>1</v>
      </c>
      <c r="E13">
        <f>+VLOOKUP(C13,Sheet1!$A$2:$B$4,2,0)</f>
        <v>4</v>
      </c>
      <c r="F13">
        <f>+VLOOKUP(D13,Sheet1!$A$2:$B$4,2,0)</f>
        <v>3</v>
      </c>
      <c r="G13" t="str">
        <f>+VLOOKUP(A13,Sheet1!$G$2:$H$4,2,0)</f>
        <v>DeepSkyBlue</v>
      </c>
      <c r="H13" t="str">
        <f>+VLOOKUP(B13,Sheet1!$G$2:$H$4,2,0)</f>
        <v>gold</v>
      </c>
      <c r="I13" t="str">
        <f>+VLOOKUP(Sheet1!$D32,cond_inter!$A$2:$I$145,6,0)</f>
        <v>button</v>
      </c>
      <c r="J13" t="str">
        <f>+VLOOKUP(Sheet1!$D32,cond_inter!$A$2:$I$145,7,0)</f>
        <v>stim/button_press.png</v>
      </c>
      <c r="K13" t="str">
        <f>+VLOOKUP(Sheet1!$D32,cond_inter!$A$2:$I$145,8,0)</f>
        <v>money</v>
      </c>
      <c r="L13">
        <f>+VLOOKUP(Sheet1!$D32,cond_inter!$A$2:$I$145,9,0)</f>
        <v>64</v>
      </c>
    </row>
    <row r="14" spans="1:12" x14ac:dyDescent="0.3">
      <c r="A14">
        <f>+VLOOKUP(Sheet1!$D33,cond_inter!$A$2:$I$145,2,0)</f>
        <v>0.5</v>
      </c>
      <c r="B14">
        <f>+VLOOKUP(Sheet1!$D33,cond_inter!$A$2:$I$145,3,0)</f>
        <v>0.25</v>
      </c>
      <c r="C14">
        <f>+VLOOKUP(Sheet1!$D33,cond_inter!$A$2:$I$145,4,0)</f>
        <v>1</v>
      </c>
      <c r="D14">
        <f>+VLOOKUP(Sheet1!$D33,cond_inter!$A$2:$I$145,5,0)</f>
        <v>2</v>
      </c>
      <c r="E14">
        <f>+VLOOKUP(C14,Sheet1!$A$2:$B$4,2,0)</f>
        <v>3</v>
      </c>
      <c r="F14">
        <f>+VLOOKUP(D14,Sheet1!$A$2:$B$4,2,0)</f>
        <v>4</v>
      </c>
      <c r="G14" t="str">
        <f>+VLOOKUP(A14,Sheet1!$G$2:$H$4,2,0)</f>
        <v>DeepSkyBlue</v>
      </c>
      <c r="H14" t="str">
        <f>+VLOOKUP(B14,Sheet1!$G$2:$H$4,2,0)</f>
        <v>gold</v>
      </c>
      <c r="I14" t="str">
        <f>+VLOOKUP(Sheet1!$D33,cond_inter!$A$2:$I$145,6,0)</f>
        <v>button</v>
      </c>
      <c r="J14" t="str">
        <f>+VLOOKUP(Sheet1!$D33,cond_inter!$A$2:$I$145,7,0)</f>
        <v>stim/button_press.png</v>
      </c>
      <c r="K14" t="str">
        <f>+VLOOKUP(Sheet1!$D33,cond_inter!$A$2:$I$145,8,0)</f>
        <v>money</v>
      </c>
      <c r="L14">
        <f>+VLOOKUP(Sheet1!$D33,cond_inter!$A$2:$I$145,9,0)</f>
        <v>69</v>
      </c>
    </row>
    <row r="15" spans="1:12" x14ac:dyDescent="0.3">
      <c r="A15">
        <f>+VLOOKUP(Sheet1!$D34,cond_inter!$A$2:$I$145,2,0)</f>
        <v>0.5</v>
      </c>
      <c r="B15">
        <f>+VLOOKUP(Sheet1!$D34,cond_inter!$A$2:$I$145,3,0)</f>
        <v>0.5</v>
      </c>
      <c r="C15">
        <f>+VLOOKUP(Sheet1!$D34,cond_inter!$A$2:$I$145,4,0)</f>
        <v>1</v>
      </c>
      <c r="D15">
        <f>+VLOOKUP(Sheet1!$D34,cond_inter!$A$2:$I$145,5,0)</f>
        <v>3</v>
      </c>
      <c r="E15">
        <f>+VLOOKUP(C15,Sheet1!$A$2:$B$4,2,0)</f>
        <v>3</v>
      </c>
      <c r="F15">
        <f>+VLOOKUP(D15,Sheet1!$A$2:$B$4,2,0)</f>
        <v>90</v>
      </c>
      <c r="G15" t="str">
        <f>+VLOOKUP(A15,Sheet1!$G$2:$H$4,2,0)</f>
        <v>DeepSkyBlue</v>
      </c>
      <c r="H15" t="str">
        <f>+VLOOKUP(B15,Sheet1!$G$2:$H$4,2,0)</f>
        <v>DeepSkyBlue</v>
      </c>
      <c r="I15" t="str">
        <f>+VLOOKUP(Sheet1!$D34,cond_inter!$A$2:$I$145,6,0)</f>
        <v>gaze</v>
      </c>
      <c r="J15" t="str">
        <f>+VLOOKUP(Sheet1!$D34,cond_inter!$A$2:$I$145,7,0)</f>
        <v>stim/eyes.png</v>
      </c>
      <c r="K15" t="str">
        <f>+VLOOKUP(Sheet1!$D34,cond_inter!$A$2:$I$145,8,0)</f>
        <v>money</v>
      </c>
      <c r="L15">
        <f>+VLOOKUP(Sheet1!$D34,cond_inter!$A$2:$I$145,9,0)</f>
        <v>78</v>
      </c>
    </row>
    <row r="16" spans="1:12" x14ac:dyDescent="0.3">
      <c r="A16">
        <f>+VLOOKUP(Sheet1!$D35,cond_inter!$A$2:$I$145,2,0)</f>
        <v>0.5</v>
      </c>
      <c r="B16">
        <f>+VLOOKUP(Sheet1!$D35,cond_inter!$A$2:$I$145,3,0)</f>
        <v>0.5</v>
      </c>
      <c r="C16">
        <f>+VLOOKUP(Sheet1!$D35,cond_inter!$A$2:$I$145,4,0)</f>
        <v>3</v>
      </c>
      <c r="D16">
        <f>+VLOOKUP(Sheet1!$D35,cond_inter!$A$2:$I$145,5,0)</f>
        <v>2</v>
      </c>
      <c r="E16">
        <f>+VLOOKUP(C16,Sheet1!$A$2:$B$4,2,0)</f>
        <v>90</v>
      </c>
      <c r="F16">
        <f>+VLOOKUP(D16,Sheet1!$A$2:$B$4,2,0)</f>
        <v>4</v>
      </c>
      <c r="G16" t="str">
        <f>+VLOOKUP(A16,Sheet1!$G$2:$H$4,2,0)</f>
        <v>DeepSkyBlue</v>
      </c>
      <c r="H16" t="str">
        <f>+VLOOKUP(B16,Sheet1!$G$2:$H$4,2,0)</f>
        <v>DeepSkyBlue</v>
      </c>
      <c r="I16" t="str">
        <f>+VLOOKUP(Sheet1!$D35,cond_inter!$A$2:$I$145,6,0)</f>
        <v>button</v>
      </c>
      <c r="J16" t="str">
        <f>+VLOOKUP(Sheet1!$D35,cond_inter!$A$2:$I$145,7,0)</f>
        <v>stim/button_press.png</v>
      </c>
      <c r="K16" t="str">
        <f>+VLOOKUP(Sheet1!$D35,cond_inter!$A$2:$I$145,8,0)</f>
        <v>money</v>
      </c>
      <c r="L16">
        <f>+VLOOKUP(Sheet1!$D35,cond_inter!$A$2:$I$145,9,0)</f>
        <v>67</v>
      </c>
    </row>
    <row r="17" spans="1:12" x14ac:dyDescent="0.3">
      <c r="A17">
        <f>+VLOOKUP(Sheet1!$D36,cond_inter!$A$2:$I$145,2,0)</f>
        <v>0.25</v>
      </c>
      <c r="B17">
        <f>+VLOOKUP(Sheet1!$D36,cond_inter!$A$2:$I$145,3,0)</f>
        <v>0.25</v>
      </c>
      <c r="C17">
        <f>+VLOOKUP(Sheet1!$D36,cond_inter!$A$2:$I$145,4,0)</f>
        <v>2</v>
      </c>
      <c r="D17">
        <f>+VLOOKUP(Sheet1!$D36,cond_inter!$A$2:$I$145,5,0)</f>
        <v>3</v>
      </c>
      <c r="E17">
        <f>+VLOOKUP(C17,Sheet1!$A$2:$B$4,2,0)</f>
        <v>4</v>
      </c>
      <c r="F17">
        <f>+VLOOKUP(D17,Sheet1!$A$2:$B$4,2,0)</f>
        <v>90</v>
      </c>
      <c r="G17" t="str">
        <f>+VLOOKUP(A17,Sheet1!$G$2:$H$4,2,0)</f>
        <v>gold</v>
      </c>
      <c r="H17" t="str">
        <f>+VLOOKUP(B17,Sheet1!$G$2:$H$4,2,0)</f>
        <v>gold</v>
      </c>
      <c r="I17" t="str">
        <f>+VLOOKUP(Sheet1!$D36,cond_inter!$A$2:$I$145,6,0)</f>
        <v>button</v>
      </c>
      <c r="J17" t="str">
        <f>+VLOOKUP(Sheet1!$D36,cond_inter!$A$2:$I$145,7,0)</f>
        <v>stim/button_press.png</v>
      </c>
      <c r="K17" t="str">
        <f>+VLOOKUP(Sheet1!$D36,cond_inter!$A$2:$I$145,8,0)</f>
        <v>money</v>
      </c>
      <c r="L17">
        <f>+VLOOKUP(Sheet1!$D36,cond_inter!$A$2:$I$145,9,0)</f>
        <v>14</v>
      </c>
    </row>
    <row r="18" spans="1:12" x14ac:dyDescent="0.3">
      <c r="A18">
        <f>+VLOOKUP(Sheet1!$D37,cond_inter!$A$2:$I$145,2,0)</f>
        <v>0.25</v>
      </c>
      <c r="B18">
        <f>+VLOOKUP(Sheet1!$D37,cond_inter!$A$2:$I$145,3,0)</f>
        <v>0.5</v>
      </c>
      <c r="C18">
        <f>+VLOOKUP(Sheet1!$D37,cond_inter!$A$2:$I$145,4,0)</f>
        <v>3</v>
      </c>
      <c r="D18">
        <f>+VLOOKUP(Sheet1!$D37,cond_inter!$A$2:$I$145,5,0)</f>
        <v>2</v>
      </c>
      <c r="E18">
        <f>+VLOOKUP(C18,Sheet1!$A$2:$B$4,2,0)</f>
        <v>90</v>
      </c>
      <c r="F18">
        <f>+VLOOKUP(D18,Sheet1!$A$2:$B$4,2,0)</f>
        <v>4</v>
      </c>
      <c r="G18" t="str">
        <f>+VLOOKUP(A18,Sheet1!$G$2:$H$4,2,0)</f>
        <v>gold</v>
      </c>
      <c r="H18" t="str">
        <f>+VLOOKUP(B18,Sheet1!$G$2:$H$4,2,0)</f>
        <v>DeepSkyBlue</v>
      </c>
      <c r="I18" t="str">
        <f>+VLOOKUP(Sheet1!$D37,cond_inter!$A$2:$I$145,6,0)</f>
        <v>gaze</v>
      </c>
      <c r="J18" t="str">
        <f>+VLOOKUP(Sheet1!$D37,cond_inter!$A$2:$I$145,7,0)</f>
        <v>stim/eyes.png</v>
      </c>
      <c r="K18" t="str">
        <f>+VLOOKUP(Sheet1!$D37,cond_inter!$A$2:$I$145,8,0)</f>
        <v>money</v>
      </c>
      <c r="L18">
        <f>+VLOOKUP(Sheet1!$D37,cond_inter!$A$2:$I$145,9,0)</f>
        <v>25</v>
      </c>
    </row>
    <row r="19" spans="1:12" x14ac:dyDescent="0.3">
      <c r="A19">
        <f>+VLOOKUP(Sheet1!$D38,cond_inter!$A$2:$I$145,2,0)</f>
        <v>0.75</v>
      </c>
      <c r="B19">
        <f>+VLOOKUP(Sheet1!$D38,cond_inter!$A$2:$I$145,3,0)</f>
        <v>0.75</v>
      </c>
      <c r="C19">
        <f>+VLOOKUP(Sheet1!$D38,cond_inter!$A$2:$I$145,4,0)</f>
        <v>2</v>
      </c>
      <c r="D19">
        <f>+VLOOKUP(Sheet1!$D38,cond_inter!$A$2:$I$145,5,0)</f>
        <v>1</v>
      </c>
      <c r="E19">
        <f>+VLOOKUP(C19,Sheet1!$A$2:$B$4,2,0)</f>
        <v>4</v>
      </c>
      <c r="F19">
        <f>+VLOOKUP(D19,Sheet1!$A$2:$B$4,2,0)</f>
        <v>3</v>
      </c>
      <c r="G19" t="str">
        <f>+VLOOKUP(A19,Sheet1!$G$2:$H$4,2,0)</f>
        <v>Fuchsia</v>
      </c>
      <c r="H19" t="str">
        <f>+VLOOKUP(B19,Sheet1!$G$2:$H$4,2,0)</f>
        <v>Fuchsia</v>
      </c>
      <c r="I19" t="str">
        <f>+VLOOKUP(Sheet1!$D38,cond_inter!$A$2:$I$145,6,0)</f>
        <v>gaze</v>
      </c>
      <c r="J19" t="str">
        <f>+VLOOKUP(Sheet1!$D38,cond_inter!$A$2:$I$145,7,0)</f>
        <v>stim/eyes.png</v>
      </c>
      <c r="K19" t="str">
        <f>+VLOOKUP(Sheet1!$D38,cond_inter!$A$2:$I$145,8,0)</f>
        <v>money</v>
      </c>
      <c r="L19">
        <f>+VLOOKUP(Sheet1!$D38,cond_inter!$A$2:$I$145,9,0)</f>
        <v>125</v>
      </c>
    </row>
    <row r="20" spans="1:12" x14ac:dyDescent="0.3">
      <c r="A20">
        <f>+VLOOKUP(Sheet1!$D39,cond_inter!$A$2:$I$145,2,0)</f>
        <v>0.5</v>
      </c>
      <c r="B20">
        <f>+VLOOKUP(Sheet1!$D39,cond_inter!$A$2:$I$145,3,0)</f>
        <v>0.5</v>
      </c>
      <c r="C20">
        <f>+VLOOKUP(Sheet1!$D39,cond_inter!$A$2:$I$145,4,0)</f>
        <v>3</v>
      </c>
      <c r="D20">
        <f>+VLOOKUP(Sheet1!$D39,cond_inter!$A$2:$I$145,5,0)</f>
        <v>1</v>
      </c>
      <c r="E20">
        <f>+VLOOKUP(C20,Sheet1!$A$2:$B$4,2,0)</f>
        <v>90</v>
      </c>
      <c r="F20">
        <f>+VLOOKUP(D20,Sheet1!$A$2:$B$4,2,0)</f>
        <v>3</v>
      </c>
      <c r="G20" t="str">
        <f>+VLOOKUP(A20,Sheet1!$G$2:$H$4,2,0)</f>
        <v>DeepSkyBlue</v>
      </c>
      <c r="H20" t="str">
        <f>+VLOOKUP(B20,Sheet1!$G$2:$H$4,2,0)</f>
        <v>DeepSkyBlue</v>
      </c>
      <c r="I20" t="str">
        <f>+VLOOKUP(Sheet1!$D39,cond_inter!$A$2:$I$145,6,0)</f>
        <v>button</v>
      </c>
      <c r="J20" t="str">
        <f>+VLOOKUP(Sheet1!$D39,cond_inter!$A$2:$I$145,7,0)</f>
        <v>stim/button_press.png</v>
      </c>
      <c r="K20" t="str">
        <f>+VLOOKUP(Sheet1!$D39,cond_inter!$A$2:$I$145,8,0)</f>
        <v>money</v>
      </c>
      <c r="L20">
        <f>+VLOOKUP(Sheet1!$D39,cond_inter!$A$2:$I$145,9,0)</f>
        <v>66</v>
      </c>
    </row>
    <row r="21" spans="1:12" x14ac:dyDescent="0.3">
      <c r="A21">
        <f>+VLOOKUP(Sheet1!$D40,cond_inter!$A$2:$I$145,2,0)</f>
        <v>0.5</v>
      </c>
      <c r="B21">
        <f>+VLOOKUP(Sheet1!$D40,cond_inter!$A$2:$I$145,3,0)</f>
        <v>0.75</v>
      </c>
      <c r="C21">
        <f>+VLOOKUP(Sheet1!$D40,cond_inter!$A$2:$I$145,4,0)</f>
        <v>1</v>
      </c>
      <c r="D21">
        <f>+VLOOKUP(Sheet1!$D40,cond_inter!$A$2:$I$145,5,0)</f>
        <v>2</v>
      </c>
      <c r="E21">
        <f>+VLOOKUP(C21,Sheet1!$A$2:$B$4,2,0)</f>
        <v>3</v>
      </c>
      <c r="F21">
        <f>+VLOOKUP(D21,Sheet1!$A$2:$B$4,2,0)</f>
        <v>4</v>
      </c>
      <c r="G21" t="str">
        <f>+VLOOKUP(A21,Sheet1!$G$2:$H$4,2,0)</f>
        <v>DeepSkyBlue</v>
      </c>
      <c r="H21" t="str">
        <f>+VLOOKUP(B21,Sheet1!$G$2:$H$4,2,0)</f>
        <v>Fuchsia</v>
      </c>
      <c r="I21" t="str">
        <f>+VLOOKUP(Sheet1!$D40,cond_inter!$A$2:$I$145,6,0)</f>
        <v>gaze</v>
      </c>
      <c r="J21" t="str">
        <f>+VLOOKUP(Sheet1!$D40,cond_inter!$A$2:$I$145,7,0)</f>
        <v>stim/eyes.png</v>
      </c>
      <c r="K21" t="str">
        <f>+VLOOKUP(Sheet1!$D40,cond_inter!$A$2:$I$145,8,0)</f>
        <v>money</v>
      </c>
      <c r="L21">
        <f>+VLOOKUP(Sheet1!$D40,cond_inter!$A$2:$I$145,9,0)</f>
        <v>77</v>
      </c>
    </row>
    <row r="22" spans="1:12" x14ac:dyDescent="0.3">
      <c r="A22">
        <f>+VLOOKUP(Sheet1!$D41,cond_inter!$A$2:$I$145,2,0)</f>
        <v>0.5</v>
      </c>
      <c r="B22">
        <f>+VLOOKUP(Sheet1!$D41,cond_inter!$A$2:$I$145,3,0)</f>
        <v>0.5</v>
      </c>
      <c r="C22">
        <f>+VLOOKUP(Sheet1!$D41,cond_inter!$A$2:$I$145,4,0)</f>
        <v>3</v>
      </c>
      <c r="D22">
        <f>+VLOOKUP(Sheet1!$D41,cond_inter!$A$2:$I$145,5,0)</f>
        <v>2</v>
      </c>
      <c r="E22">
        <f>+VLOOKUP(C22,Sheet1!$A$2:$B$4,2,0)</f>
        <v>90</v>
      </c>
      <c r="F22">
        <f>+VLOOKUP(D22,Sheet1!$A$2:$B$4,2,0)</f>
        <v>4</v>
      </c>
      <c r="G22" t="str">
        <f>+VLOOKUP(A22,Sheet1!$G$2:$H$4,2,0)</f>
        <v>DeepSkyBlue</v>
      </c>
      <c r="H22" t="str">
        <f>+VLOOKUP(B22,Sheet1!$G$2:$H$4,2,0)</f>
        <v>DeepSkyBlue</v>
      </c>
      <c r="I22" t="str">
        <f>+VLOOKUP(Sheet1!$D41,cond_inter!$A$2:$I$145,6,0)</f>
        <v>gaze</v>
      </c>
      <c r="J22" t="str">
        <f>+VLOOKUP(Sheet1!$D41,cond_inter!$A$2:$I$145,7,0)</f>
        <v>stim/eyes.png</v>
      </c>
      <c r="K22" t="str">
        <f>+VLOOKUP(Sheet1!$D41,cond_inter!$A$2:$I$145,8,0)</f>
        <v>money</v>
      </c>
      <c r="L22">
        <f>+VLOOKUP(Sheet1!$D41,cond_inter!$A$2:$I$145,9,0)</f>
        <v>87</v>
      </c>
    </row>
    <row r="23" spans="1:12" x14ac:dyDescent="0.3">
      <c r="A23">
        <f>+VLOOKUP(Sheet1!$D42,cond_inter!$A$2:$I$145,2,0)</f>
        <v>0.5</v>
      </c>
      <c r="B23">
        <f>+VLOOKUP(Sheet1!$D42,cond_inter!$A$2:$I$145,3,0)</f>
        <v>0.75</v>
      </c>
      <c r="C23">
        <f>+VLOOKUP(Sheet1!$D42,cond_inter!$A$2:$I$145,4,0)</f>
        <v>2</v>
      </c>
      <c r="D23">
        <f>+VLOOKUP(Sheet1!$D42,cond_inter!$A$2:$I$145,5,0)</f>
        <v>2</v>
      </c>
      <c r="E23">
        <f>+VLOOKUP(C23,Sheet1!$A$2:$B$4,2,0)</f>
        <v>4</v>
      </c>
      <c r="F23">
        <f>+VLOOKUP(D23,Sheet1!$A$2:$B$4,2,0)</f>
        <v>4</v>
      </c>
      <c r="G23" t="str">
        <f>+VLOOKUP(A23,Sheet1!$G$2:$H$4,2,0)</f>
        <v>DeepSkyBlue</v>
      </c>
      <c r="H23" t="str">
        <f>+VLOOKUP(B23,Sheet1!$G$2:$H$4,2,0)</f>
        <v>Fuchsia</v>
      </c>
      <c r="I23" t="str">
        <f>+VLOOKUP(Sheet1!$D42,cond_inter!$A$2:$I$145,6,0)</f>
        <v>button</v>
      </c>
      <c r="J23" t="str">
        <f>+VLOOKUP(Sheet1!$D42,cond_inter!$A$2:$I$145,7,0)</f>
        <v>stim/button_press.png</v>
      </c>
      <c r="K23" t="str">
        <f>+VLOOKUP(Sheet1!$D42,cond_inter!$A$2:$I$145,8,0)</f>
        <v>money</v>
      </c>
      <c r="L23">
        <f>+VLOOKUP(Sheet1!$D42,cond_inter!$A$2:$I$145,9,0)</f>
        <v>56</v>
      </c>
    </row>
    <row r="24" spans="1:12" x14ac:dyDescent="0.3">
      <c r="A24">
        <f>+VLOOKUP(Sheet1!$D43,cond_inter!$A$2:$I$145,2,0)</f>
        <v>0.5</v>
      </c>
      <c r="B24">
        <f>+VLOOKUP(Sheet1!$D43,cond_inter!$A$2:$I$145,3,0)</f>
        <v>0.75</v>
      </c>
      <c r="C24">
        <f>+VLOOKUP(Sheet1!$D43,cond_inter!$A$2:$I$145,4,0)</f>
        <v>3</v>
      </c>
      <c r="D24">
        <f>+VLOOKUP(Sheet1!$D43,cond_inter!$A$2:$I$145,5,0)</f>
        <v>1</v>
      </c>
      <c r="E24">
        <f>+VLOOKUP(C24,Sheet1!$A$2:$B$4,2,0)</f>
        <v>90</v>
      </c>
      <c r="F24">
        <f>+VLOOKUP(D24,Sheet1!$A$2:$B$4,2,0)</f>
        <v>3</v>
      </c>
      <c r="G24" t="str">
        <f>+VLOOKUP(A24,Sheet1!$G$2:$H$4,2,0)</f>
        <v>DeepSkyBlue</v>
      </c>
      <c r="H24" t="str">
        <f>+VLOOKUP(B24,Sheet1!$G$2:$H$4,2,0)</f>
        <v>Fuchsia</v>
      </c>
      <c r="I24" t="str">
        <f>+VLOOKUP(Sheet1!$D43,cond_inter!$A$2:$I$145,6,0)</f>
        <v>button</v>
      </c>
      <c r="J24" t="str">
        <f>+VLOOKUP(Sheet1!$D43,cond_inter!$A$2:$I$145,7,0)</f>
        <v>stim/button_press.png</v>
      </c>
      <c r="K24" t="str">
        <f>+VLOOKUP(Sheet1!$D43,cond_inter!$A$2:$I$145,8,0)</f>
        <v>money</v>
      </c>
      <c r="L24">
        <f>+VLOOKUP(Sheet1!$D43,cond_inter!$A$2:$I$145,9,0)</f>
        <v>53</v>
      </c>
    </row>
    <row r="25" spans="1:12" x14ac:dyDescent="0.3">
      <c r="A25">
        <f>+VLOOKUP(Sheet1!$D44,cond_inter!$A$2:$I$145,2,0)</f>
        <v>0.5</v>
      </c>
      <c r="B25">
        <f>+VLOOKUP(Sheet1!$D44,cond_inter!$A$2:$I$145,3,0)</f>
        <v>0.75</v>
      </c>
      <c r="C25">
        <f>+VLOOKUP(Sheet1!$D44,cond_inter!$A$2:$I$145,4,0)</f>
        <v>2</v>
      </c>
      <c r="D25">
        <f>+VLOOKUP(Sheet1!$D44,cond_inter!$A$2:$I$145,5,0)</f>
        <v>1</v>
      </c>
      <c r="E25">
        <f>+VLOOKUP(C25,Sheet1!$A$2:$B$4,2,0)</f>
        <v>4</v>
      </c>
      <c r="F25">
        <f>+VLOOKUP(D25,Sheet1!$A$2:$B$4,2,0)</f>
        <v>3</v>
      </c>
      <c r="G25" t="str">
        <f>+VLOOKUP(A25,Sheet1!$G$2:$H$4,2,0)</f>
        <v>DeepSkyBlue</v>
      </c>
      <c r="H25" t="str">
        <f>+VLOOKUP(B25,Sheet1!$G$2:$H$4,2,0)</f>
        <v>Fuchsia</v>
      </c>
      <c r="I25" t="str">
        <f>+VLOOKUP(Sheet1!$D44,cond_inter!$A$2:$I$145,6,0)</f>
        <v>gaze</v>
      </c>
      <c r="J25" t="str">
        <f>+VLOOKUP(Sheet1!$D44,cond_inter!$A$2:$I$145,7,0)</f>
        <v>stim/eyes.png</v>
      </c>
      <c r="K25" t="str">
        <f>+VLOOKUP(Sheet1!$D44,cond_inter!$A$2:$I$145,8,0)</f>
        <v>money</v>
      </c>
      <c r="L25">
        <f>+VLOOKUP(Sheet1!$D44,cond_inter!$A$2:$I$145,9,0)</f>
        <v>93</v>
      </c>
    </row>
    <row r="26" spans="1:12" x14ac:dyDescent="0.3">
      <c r="A26">
        <f>+VLOOKUP(Sheet1!$D45,cond_inter!$A$2:$I$145,2,0)</f>
        <v>0.75</v>
      </c>
      <c r="B26">
        <f>+VLOOKUP(Sheet1!$D45,cond_inter!$A$2:$I$145,3,0)</f>
        <v>0.5</v>
      </c>
      <c r="C26">
        <f>+VLOOKUP(Sheet1!$D45,cond_inter!$A$2:$I$145,4,0)</f>
        <v>3</v>
      </c>
      <c r="D26">
        <f>+VLOOKUP(Sheet1!$D45,cond_inter!$A$2:$I$145,5,0)</f>
        <v>1</v>
      </c>
      <c r="E26">
        <f>+VLOOKUP(C26,Sheet1!$A$2:$B$4,2,0)</f>
        <v>90</v>
      </c>
      <c r="F26">
        <f>+VLOOKUP(D26,Sheet1!$A$2:$B$4,2,0)</f>
        <v>3</v>
      </c>
      <c r="G26" t="str">
        <f>+VLOOKUP(A26,Sheet1!$G$2:$H$4,2,0)</f>
        <v>Fuchsia</v>
      </c>
      <c r="H26" t="str">
        <f>+VLOOKUP(B26,Sheet1!$G$2:$H$4,2,0)</f>
        <v>DeepSkyBlue</v>
      </c>
      <c r="I26" t="str">
        <f>+VLOOKUP(Sheet1!$D45,cond_inter!$A$2:$I$145,6,0)</f>
        <v>gaze</v>
      </c>
      <c r="J26" t="str">
        <f>+VLOOKUP(Sheet1!$D45,cond_inter!$A$2:$I$145,7,0)</f>
        <v>stim/eyes.png</v>
      </c>
      <c r="K26" t="str">
        <f>+VLOOKUP(Sheet1!$D45,cond_inter!$A$2:$I$145,8,0)</f>
        <v>money</v>
      </c>
      <c r="L26">
        <f>+VLOOKUP(Sheet1!$D45,cond_inter!$A$2:$I$145,9,0)</f>
        <v>128</v>
      </c>
    </row>
    <row r="27" spans="1:12" x14ac:dyDescent="0.3">
      <c r="A27">
        <f>+VLOOKUP(Sheet1!$D46,cond_inter!$A$2:$I$145,2,0)</f>
        <v>0.75</v>
      </c>
      <c r="B27">
        <f>+VLOOKUP(Sheet1!$D46,cond_inter!$A$2:$I$145,3,0)</f>
        <v>0.5</v>
      </c>
      <c r="C27">
        <f>+VLOOKUP(Sheet1!$D46,cond_inter!$A$2:$I$145,4,0)</f>
        <v>2</v>
      </c>
      <c r="D27">
        <f>+VLOOKUP(Sheet1!$D46,cond_inter!$A$2:$I$145,5,0)</f>
        <v>3</v>
      </c>
      <c r="E27">
        <f>+VLOOKUP(C27,Sheet1!$A$2:$B$4,2,0)</f>
        <v>4</v>
      </c>
      <c r="F27">
        <f>+VLOOKUP(D27,Sheet1!$A$2:$B$4,2,0)</f>
        <v>90</v>
      </c>
      <c r="G27" t="str">
        <f>+VLOOKUP(A27,Sheet1!$G$2:$H$4,2,0)</f>
        <v>Fuchsia</v>
      </c>
      <c r="H27" t="str">
        <f>+VLOOKUP(B27,Sheet1!$G$2:$H$4,2,0)</f>
        <v>DeepSkyBlue</v>
      </c>
      <c r="I27" t="str">
        <f>+VLOOKUP(Sheet1!$D46,cond_inter!$A$2:$I$145,6,0)</f>
        <v>gaze</v>
      </c>
      <c r="J27" t="str">
        <f>+VLOOKUP(Sheet1!$D46,cond_inter!$A$2:$I$145,7,0)</f>
        <v>stim/eyes.png</v>
      </c>
      <c r="K27" t="str">
        <f>+VLOOKUP(Sheet1!$D46,cond_inter!$A$2:$I$145,8,0)</f>
        <v>money</v>
      </c>
      <c r="L27">
        <f>+VLOOKUP(Sheet1!$D46,cond_inter!$A$2:$I$145,9,0)</f>
        <v>132</v>
      </c>
    </row>
    <row r="28" spans="1:12" x14ac:dyDescent="0.3">
      <c r="A28">
        <f>+VLOOKUP(Sheet1!$D47,cond_inter!$A$2:$I$145,2,0)</f>
        <v>0.25</v>
      </c>
      <c r="B28">
        <f>+VLOOKUP(Sheet1!$D47,cond_inter!$A$2:$I$145,3,0)</f>
        <v>0.5</v>
      </c>
      <c r="C28">
        <f>+VLOOKUP(Sheet1!$D47,cond_inter!$A$2:$I$145,4,0)</f>
        <v>3</v>
      </c>
      <c r="D28">
        <f>+VLOOKUP(Sheet1!$D47,cond_inter!$A$2:$I$145,5,0)</f>
        <v>1</v>
      </c>
      <c r="E28">
        <f>+VLOOKUP(C28,Sheet1!$A$2:$B$4,2,0)</f>
        <v>90</v>
      </c>
      <c r="F28">
        <f>+VLOOKUP(D28,Sheet1!$A$2:$B$4,2,0)</f>
        <v>3</v>
      </c>
      <c r="G28" t="str">
        <f>+VLOOKUP(A28,Sheet1!$G$2:$H$4,2,0)</f>
        <v>gold</v>
      </c>
      <c r="H28" t="str">
        <f>+VLOOKUP(B28,Sheet1!$G$2:$H$4,2,0)</f>
        <v>DeepSkyBlue</v>
      </c>
      <c r="I28" t="str">
        <f>+VLOOKUP(Sheet1!$D47,cond_inter!$A$2:$I$145,6,0)</f>
        <v>button</v>
      </c>
      <c r="J28" t="str">
        <f>+VLOOKUP(Sheet1!$D47,cond_inter!$A$2:$I$145,7,0)</f>
        <v>stim/button_press.png</v>
      </c>
      <c r="K28" t="str">
        <f>+VLOOKUP(Sheet1!$D47,cond_inter!$A$2:$I$145,8,0)</f>
        <v>money</v>
      </c>
      <c r="L28">
        <f>+VLOOKUP(Sheet1!$D47,cond_inter!$A$2:$I$145,9,0)</f>
        <v>17</v>
      </c>
    </row>
    <row r="29" spans="1:12" x14ac:dyDescent="0.3">
      <c r="A29">
        <f>+VLOOKUP(Sheet1!$D48,cond_inter!$A$2:$I$145,2,0)</f>
        <v>0.25</v>
      </c>
      <c r="B29">
        <f>+VLOOKUP(Sheet1!$D48,cond_inter!$A$2:$I$145,3,0)</f>
        <v>0.75</v>
      </c>
      <c r="C29">
        <f>+VLOOKUP(Sheet1!$D48,cond_inter!$A$2:$I$145,4,0)</f>
        <v>3</v>
      </c>
      <c r="D29">
        <f>+VLOOKUP(Sheet1!$D48,cond_inter!$A$2:$I$145,5,0)</f>
        <v>1</v>
      </c>
      <c r="E29">
        <f>+VLOOKUP(C29,Sheet1!$A$2:$B$4,2,0)</f>
        <v>90</v>
      </c>
      <c r="F29">
        <f>+VLOOKUP(D29,Sheet1!$A$2:$B$4,2,0)</f>
        <v>3</v>
      </c>
      <c r="G29" t="str">
        <f>+VLOOKUP(A29,Sheet1!$G$2:$H$4,2,0)</f>
        <v>gold</v>
      </c>
      <c r="H29" t="str">
        <f>+VLOOKUP(B29,Sheet1!$G$2:$H$4,2,0)</f>
        <v>Fuchsia</v>
      </c>
      <c r="I29" t="str">
        <f>+VLOOKUP(Sheet1!$D48,cond_inter!$A$2:$I$145,6,0)</f>
        <v>button</v>
      </c>
      <c r="J29" t="str">
        <f>+VLOOKUP(Sheet1!$D48,cond_inter!$A$2:$I$145,7,0)</f>
        <v>stim/button_press.png</v>
      </c>
      <c r="K29" t="str">
        <f>+VLOOKUP(Sheet1!$D48,cond_inter!$A$2:$I$145,8,0)</f>
        <v>money</v>
      </c>
      <c r="L29">
        <f>+VLOOKUP(Sheet1!$D48,cond_inter!$A$2:$I$145,9,0)</f>
        <v>7</v>
      </c>
    </row>
    <row r="30" spans="1:12" x14ac:dyDescent="0.3">
      <c r="A30">
        <f>+VLOOKUP(Sheet1!$D49,cond_inter!$A$2:$I$145,2,0)</f>
        <v>0.75</v>
      </c>
      <c r="B30">
        <f>+VLOOKUP(Sheet1!$D49,cond_inter!$A$2:$I$145,3,0)</f>
        <v>0.5</v>
      </c>
      <c r="C30">
        <f>+VLOOKUP(Sheet1!$D49,cond_inter!$A$2:$I$145,4,0)</f>
        <v>3</v>
      </c>
      <c r="D30">
        <f>+VLOOKUP(Sheet1!$D49,cond_inter!$A$2:$I$145,5,0)</f>
        <v>3</v>
      </c>
      <c r="E30">
        <f>+VLOOKUP(C30,Sheet1!$A$2:$B$4,2,0)</f>
        <v>90</v>
      </c>
      <c r="F30">
        <f>+VLOOKUP(D30,Sheet1!$A$2:$B$4,2,0)</f>
        <v>90</v>
      </c>
      <c r="G30" t="str">
        <f>+VLOOKUP(A30,Sheet1!$G$2:$H$4,2,0)</f>
        <v>Fuchsia</v>
      </c>
      <c r="H30" t="str">
        <f>+VLOOKUP(B30,Sheet1!$G$2:$H$4,2,0)</f>
        <v>DeepSkyBlue</v>
      </c>
      <c r="I30" t="str">
        <f>+VLOOKUP(Sheet1!$D49,cond_inter!$A$2:$I$145,6,0)</f>
        <v>button</v>
      </c>
      <c r="J30" t="str">
        <f>+VLOOKUP(Sheet1!$D49,cond_inter!$A$2:$I$145,7,0)</f>
        <v>stim/button_press.png</v>
      </c>
      <c r="K30" t="str">
        <f>+VLOOKUP(Sheet1!$D49,cond_inter!$A$2:$I$145,8,0)</f>
        <v>money</v>
      </c>
      <c r="L30">
        <f>+VLOOKUP(Sheet1!$D49,cond_inter!$A$2:$I$145,9,0)</f>
        <v>98</v>
      </c>
    </row>
    <row r="31" spans="1:12" x14ac:dyDescent="0.3">
      <c r="A31">
        <f>+VLOOKUP(Sheet1!$D50,cond_inter!$A$2:$I$145,2,0)</f>
        <v>0.5</v>
      </c>
      <c r="B31">
        <f>+VLOOKUP(Sheet1!$D50,cond_inter!$A$2:$I$145,3,0)</f>
        <v>0.25</v>
      </c>
      <c r="C31">
        <f>+VLOOKUP(Sheet1!$D50,cond_inter!$A$2:$I$145,4,0)</f>
        <v>1</v>
      </c>
      <c r="D31">
        <f>+VLOOKUP(Sheet1!$D50,cond_inter!$A$2:$I$145,5,0)</f>
        <v>3</v>
      </c>
      <c r="E31">
        <f>+VLOOKUP(C31,Sheet1!$A$2:$B$4,2,0)</f>
        <v>3</v>
      </c>
      <c r="F31">
        <f>+VLOOKUP(D31,Sheet1!$A$2:$B$4,2,0)</f>
        <v>90</v>
      </c>
      <c r="G31" t="str">
        <f>+VLOOKUP(A31,Sheet1!$G$2:$H$4,2,0)</f>
        <v>DeepSkyBlue</v>
      </c>
      <c r="H31" t="str">
        <f>+VLOOKUP(B31,Sheet1!$G$2:$H$4,2,0)</f>
        <v>gold</v>
      </c>
      <c r="I31" t="str">
        <f>+VLOOKUP(Sheet1!$D50,cond_inter!$A$2:$I$145,6,0)</f>
        <v>button</v>
      </c>
      <c r="J31" t="str">
        <f>+VLOOKUP(Sheet1!$D50,cond_inter!$A$2:$I$145,7,0)</f>
        <v>stim/button_press.png</v>
      </c>
      <c r="K31" t="str">
        <f>+VLOOKUP(Sheet1!$D50,cond_inter!$A$2:$I$145,8,0)</f>
        <v>money</v>
      </c>
      <c r="L31">
        <f>+VLOOKUP(Sheet1!$D50,cond_inter!$A$2:$I$145,9,0)</f>
        <v>52</v>
      </c>
    </row>
    <row r="32" spans="1:12" x14ac:dyDescent="0.3">
      <c r="A32">
        <f>+VLOOKUP(Sheet1!$D51,cond_inter!$A$2:$I$145,2,0)</f>
        <v>0.75</v>
      </c>
      <c r="B32">
        <f>+VLOOKUP(Sheet1!$D51,cond_inter!$A$2:$I$145,3,0)</f>
        <v>0.75</v>
      </c>
      <c r="C32">
        <f>+VLOOKUP(Sheet1!$D51,cond_inter!$A$2:$I$145,4,0)</f>
        <v>3</v>
      </c>
      <c r="D32">
        <f>+VLOOKUP(Sheet1!$D51,cond_inter!$A$2:$I$145,5,0)</f>
        <v>2</v>
      </c>
      <c r="E32">
        <f>+VLOOKUP(C32,Sheet1!$A$2:$B$4,2,0)</f>
        <v>90</v>
      </c>
      <c r="F32">
        <f>+VLOOKUP(D32,Sheet1!$A$2:$B$4,2,0)</f>
        <v>4</v>
      </c>
      <c r="G32" t="str">
        <f>+VLOOKUP(A32,Sheet1!$G$2:$H$4,2,0)</f>
        <v>Fuchsia</v>
      </c>
      <c r="H32" t="str">
        <f>+VLOOKUP(B32,Sheet1!$G$2:$H$4,2,0)</f>
        <v>Fuchsia</v>
      </c>
      <c r="I32" t="str">
        <f>+VLOOKUP(Sheet1!$D51,cond_inter!$A$2:$I$145,6,0)</f>
        <v>gaze</v>
      </c>
      <c r="J32" t="str">
        <f>+VLOOKUP(Sheet1!$D51,cond_inter!$A$2:$I$145,7,0)</f>
        <v>stim/eyes.png</v>
      </c>
      <c r="K32" t="str">
        <f>+VLOOKUP(Sheet1!$D51,cond_inter!$A$2:$I$145,8,0)</f>
        <v>money</v>
      </c>
      <c r="L32">
        <f>+VLOOKUP(Sheet1!$D51,cond_inter!$A$2:$I$145,9,0)</f>
        <v>141</v>
      </c>
    </row>
    <row r="33" spans="1:12" x14ac:dyDescent="0.3">
      <c r="A33">
        <f>+VLOOKUP(Sheet1!$D52,cond_inter!$A$2:$I$145,2,0)</f>
        <v>0.5</v>
      </c>
      <c r="B33">
        <f>+VLOOKUP(Sheet1!$D52,cond_inter!$A$2:$I$145,3,0)</f>
        <v>0.75</v>
      </c>
      <c r="C33">
        <f>+VLOOKUP(Sheet1!$D52,cond_inter!$A$2:$I$145,4,0)</f>
        <v>2</v>
      </c>
      <c r="D33">
        <f>+VLOOKUP(Sheet1!$D52,cond_inter!$A$2:$I$145,5,0)</f>
        <v>2</v>
      </c>
      <c r="E33">
        <f>+VLOOKUP(C33,Sheet1!$A$2:$B$4,2,0)</f>
        <v>4</v>
      </c>
      <c r="F33">
        <f>+VLOOKUP(D33,Sheet1!$A$2:$B$4,2,0)</f>
        <v>4</v>
      </c>
      <c r="G33" t="str">
        <f>+VLOOKUP(A33,Sheet1!$G$2:$H$4,2,0)</f>
        <v>DeepSkyBlue</v>
      </c>
      <c r="H33" t="str">
        <f>+VLOOKUP(B33,Sheet1!$G$2:$H$4,2,0)</f>
        <v>Fuchsia</v>
      </c>
      <c r="I33" t="str">
        <f>+VLOOKUP(Sheet1!$D52,cond_inter!$A$2:$I$145,6,0)</f>
        <v>gaze</v>
      </c>
      <c r="J33" t="str">
        <f>+VLOOKUP(Sheet1!$D52,cond_inter!$A$2:$I$145,7,0)</f>
        <v>stim/eyes.png</v>
      </c>
      <c r="K33" t="str">
        <f>+VLOOKUP(Sheet1!$D52,cond_inter!$A$2:$I$145,8,0)</f>
        <v>money</v>
      </c>
      <c r="L33">
        <f>+VLOOKUP(Sheet1!$D52,cond_inter!$A$2:$I$145,9,0)</f>
        <v>88</v>
      </c>
    </row>
    <row r="34" spans="1:12" x14ac:dyDescent="0.3">
      <c r="A34">
        <f>+VLOOKUP(Sheet1!$D53,cond_inter!$A$2:$I$145,2,0)</f>
        <v>0.5</v>
      </c>
      <c r="B34">
        <f>+VLOOKUP(Sheet1!$D53,cond_inter!$A$2:$I$145,3,0)</f>
        <v>0.75</v>
      </c>
      <c r="C34">
        <f>+VLOOKUP(Sheet1!$D53,cond_inter!$A$2:$I$145,4,0)</f>
        <v>1</v>
      </c>
      <c r="D34">
        <f>+VLOOKUP(Sheet1!$D53,cond_inter!$A$2:$I$145,5,0)</f>
        <v>1</v>
      </c>
      <c r="E34">
        <f>+VLOOKUP(C34,Sheet1!$A$2:$B$4,2,0)</f>
        <v>3</v>
      </c>
      <c r="F34">
        <f>+VLOOKUP(D34,Sheet1!$A$2:$B$4,2,0)</f>
        <v>3</v>
      </c>
      <c r="G34" t="str">
        <f>+VLOOKUP(A34,Sheet1!$G$2:$H$4,2,0)</f>
        <v>DeepSkyBlue</v>
      </c>
      <c r="H34" t="str">
        <f>+VLOOKUP(B34,Sheet1!$G$2:$H$4,2,0)</f>
        <v>Fuchsia</v>
      </c>
      <c r="I34" t="str">
        <f>+VLOOKUP(Sheet1!$D53,cond_inter!$A$2:$I$145,6,0)</f>
        <v>gaze</v>
      </c>
      <c r="J34" t="str">
        <f>+VLOOKUP(Sheet1!$D53,cond_inter!$A$2:$I$145,7,0)</f>
        <v>stim/eyes.png</v>
      </c>
      <c r="K34" t="str">
        <f>+VLOOKUP(Sheet1!$D53,cond_inter!$A$2:$I$145,8,0)</f>
        <v>money</v>
      </c>
      <c r="L34">
        <f>+VLOOKUP(Sheet1!$D53,cond_inter!$A$2:$I$145,9,0)</f>
        <v>72</v>
      </c>
    </row>
    <row r="35" spans="1:12" x14ac:dyDescent="0.3">
      <c r="A35">
        <f>+VLOOKUP(Sheet1!$D54,cond_inter!$A$2:$I$145,2,0)</f>
        <v>0.5</v>
      </c>
      <c r="B35">
        <f>+VLOOKUP(Sheet1!$D54,cond_inter!$A$2:$I$145,3,0)</f>
        <v>0.75</v>
      </c>
      <c r="C35">
        <f>+VLOOKUP(Sheet1!$D54,cond_inter!$A$2:$I$145,4,0)</f>
        <v>3</v>
      </c>
      <c r="D35">
        <f>+VLOOKUP(Sheet1!$D54,cond_inter!$A$2:$I$145,5,0)</f>
        <v>1</v>
      </c>
      <c r="E35">
        <f>+VLOOKUP(C35,Sheet1!$A$2:$B$4,2,0)</f>
        <v>90</v>
      </c>
      <c r="F35">
        <f>+VLOOKUP(D35,Sheet1!$A$2:$B$4,2,0)</f>
        <v>3</v>
      </c>
      <c r="G35" t="str">
        <f>+VLOOKUP(A35,Sheet1!$G$2:$H$4,2,0)</f>
        <v>DeepSkyBlue</v>
      </c>
      <c r="H35" t="str">
        <f>+VLOOKUP(B35,Sheet1!$G$2:$H$4,2,0)</f>
        <v>Fuchsia</v>
      </c>
      <c r="I35" t="str">
        <f>+VLOOKUP(Sheet1!$D54,cond_inter!$A$2:$I$145,6,0)</f>
        <v>gaze</v>
      </c>
      <c r="J35" t="str">
        <f>+VLOOKUP(Sheet1!$D54,cond_inter!$A$2:$I$145,7,0)</f>
        <v>stim/eyes.png</v>
      </c>
      <c r="K35" t="str">
        <f>+VLOOKUP(Sheet1!$D54,cond_inter!$A$2:$I$145,8,0)</f>
        <v>money</v>
      </c>
      <c r="L35">
        <f>+VLOOKUP(Sheet1!$D54,cond_inter!$A$2:$I$145,9,0)</f>
        <v>74</v>
      </c>
    </row>
    <row r="36" spans="1:12" x14ac:dyDescent="0.3">
      <c r="A36">
        <f>+VLOOKUP(Sheet1!$D55,cond_inter!$A$2:$I$145,2,0)</f>
        <v>0.25</v>
      </c>
      <c r="B36">
        <f>+VLOOKUP(Sheet1!$D55,cond_inter!$A$2:$I$145,3,0)</f>
        <v>0.25</v>
      </c>
      <c r="C36">
        <f>+VLOOKUP(Sheet1!$D55,cond_inter!$A$2:$I$145,4,0)</f>
        <v>1</v>
      </c>
      <c r="D36">
        <f>+VLOOKUP(Sheet1!$D55,cond_inter!$A$2:$I$145,5,0)</f>
        <v>2</v>
      </c>
      <c r="E36">
        <f>+VLOOKUP(C36,Sheet1!$A$2:$B$4,2,0)</f>
        <v>3</v>
      </c>
      <c r="F36">
        <f>+VLOOKUP(D36,Sheet1!$A$2:$B$4,2,0)</f>
        <v>4</v>
      </c>
      <c r="G36" t="str">
        <f>+VLOOKUP(A36,Sheet1!$G$2:$H$4,2,0)</f>
        <v>gold</v>
      </c>
      <c r="H36" t="str">
        <f>+VLOOKUP(B36,Sheet1!$G$2:$H$4,2,0)</f>
        <v>gold</v>
      </c>
      <c r="I36" t="str">
        <f>+VLOOKUP(Sheet1!$D55,cond_inter!$A$2:$I$145,6,0)</f>
        <v>button</v>
      </c>
      <c r="J36" t="str">
        <f>+VLOOKUP(Sheet1!$D55,cond_inter!$A$2:$I$145,7,0)</f>
        <v>stim/button_press.png</v>
      </c>
      <c r="K36" t="str">
        <f>+VLOOKUP(Sheet1!$D55,cond_inter!$A$2:$I$145,8,0)</f>
        <v>money</v>
      </c>
      <c r="L36">
        <f>+VLOOKUP(Sheet1!$D55,cond_inter!$A$2:$I$145,9,0)</f>
        <v>9</v>
      </c>
    </row>
    <row r="37" spans="1:12" x14ac:dyDescent="0.3">
      <c r="A37">
        <f>+VLOOKUP(Sheet1!$D56,cond_inter!$A$2:$I$145,2,0)</f>
        <v>0.75</v>
      </c>
      <c r="B37">
        <f>+VLOOKUP(Sheet1!$D56,cond_inter!$A$2:$I$145,3,0)</f>
        <v>0.25</v>
      </c>
      <c r="C37">
        <f>+VLOOKUP(Sheet1!$D56,cond_inter!$A$2:$I$145,4,0)</f>
        <v>2</v>
      </c>
      <c r="D37">
        <f>+VLOOKUP(Sheet1!$D56,cond_inter!$A$2:$I$145,5,0)</f>
        <v>1</v>
      </c>
      <c r="E37">
        <f>+VLOOKUP(C37,Sheet1!$A$2:$B$4,2,0)</f>
        <v>4</v>
      </c>
      <c r="F37">
        <f>+VLOOKUP(D37,Sheet1!$A$2:$B$4,2,0)</f>
        <v>3</v>
      </c>
      <c r="G37" t="str">
        <f>+VLOOKUP(A37,Sheet1!$G$2:$H$4,2,0)</f>
        <v>Fuchsia</v>
      </c>
      <c r="H37" t="str">
        <f>+VLOOKUP(B37,Sheet1!$G$2:$H$4,2,0)</f>
        <v>gold</v>
      </c>
      <c r="I37" t="str">
        <f>+VLOOKUP(Sheet1!$D56,cond_inter!$A$2:$I$145,6,0)</f>
        <v>gaze</v>
      </c>
      <c r="J37" t="str">
        <f>+VLOOKUP(Sheet1!$D56,cond_inter!$A$2:$I$145,7,0)</f>
        <v>stim/eyes.png</v>
      </c>
      <c r="K37" t="str">
        <f>+VLOOKUP(Sheet1!$D56,cond_inter!$A$2:$I$145,8,0)</f>
        <v>money</v>
      </c>
      <c r="L37">
        <f>+VLOOKUP(Sheet1!$D56,cond_inter!$A$2:$I$145,9,0)</f>
        <v>124</v>
      </c>
    </row>
    <row r="38" spans="1:12" x14ac:dyDescent="0.3">
      <c r="A38">
        <f>+VLOOKUP(Sheet1!$D57,cond_inter!$A$2:$I$145,2,0)</f>
        <v>0.75</v>
      </c>
      <c r="B38">
        <f>+VLOOKUP(Sheet1!$D57,cond_inter!$A$2:$I$145,3,0)</f>
        <v>0.25</v>
      </c>
      <c r="C38">
        <f>+VLOOKUP(Sheet1!$D57,cond_inter!$A$2:$I$145,4,0)</f>
        <v>2</v>
      </c>
      <c r="D38">
        <f>+VLOOKUP(Sheet1!$D57,cond_inter!$A$2:$I$145,5,0)</f>
        <v>2</v>
      </c>
      <c r="E38">
        <f>+VLOOKUP(C38,Sheet1!$A$2:$B$4,2,0)</f>
        <v>4</v>
      </c>
      <c r="F38">
        <f>+VLOOKUP(D38,Sheet1!$A$2:$B$4,2,0)</f>
        <v>4</v>
      </c>
      <c r="G38" t="str">
        <f>+VLOOKUP(A38,Sheet1!$G$2:$H$4,2,0)</f>
        <v>Fuchsia</v>
      </c>
      <c r="H38" t="str">
        <f>+VLOOKUP(B38,Sheet1!$G$2:$H$4,2,0)</f>
        <v>gold</v>
      </c>
      <c r="I38" t="str">
        <f>+VLOOKUP(Sheet1!$D57,cond_inter!$A$2:$I$145,6,0)</f>
        <v>gaze</v>
      </c>
      <c r="J38" t="str">
        <f>+VLOOKUP(Sheet1!$D57,cond_inter!$A$2:$I$145,7,0)</f>
        <v>stim/eyes.png</v>
      </c>
      <c r="K38" t="str">
        <f>+VLOOKUP(Sheet1!$D57,cond_inter!$A$2:$I$145,8,0)</f>
        <v>money</v>
      </c>
      <c r="L38">
        <f>+VLOOKUP(Sheet1!$D57,cond_inter!$A$2:$I$145,9,0)</f>
        <v>131</v>
      </c>
    </row>
    <row r="39" spans="1:12" x14ac:dyDescent="0.3">
      <c r="A39">
        <f>+VLOOKUP(Sheet1!$D58,cond_inter!$A$2:$I$145,2,0)</f>
        <v>0.5</v>
      </c>
      <c r="B39">
        <f>+VLOOKUP(Sheet1!$D58,cond_inter!$A$2:$I$145,3,0)</f>
        <v>0.25</v>
      </c>
      <c r="C39">
        <f>+VLOOKUP(Sheet1!$D58,cond_inter!$A$2:$I$145,4,0)</f>
        <v>3</v>
      </c>
      <c r="D39">
        <f>+VLOOKUP(Sheet1!$D58,cond_inter!$A$2:$I$145,5,0)</f>
        <v>1</v>
      </c>
      <c r="E39">
        <f>+VLOOKUP(C39,Sheet1!$A$2:$B$4,2,0)</f>
        <v>90</v>
      </c>
      <c r="F39">
        <f>+VLOOKUP(D39,Sheet1!$A$2:$B$4,2,0)</f>
        <v>3</v>
      </c>
      <c r="G39" t="str">
        <f>+VLOOKUP(A39,Sheet1!$G$2:$H$4,2,0)</f>
        <v>DeepSkyBlue</v>
      </c>
      <c r="H39" t="str">
        <f>+VLOOKUP(B39,Sheet1!$G$2:$H$4,2,0)</f>
        <v>gold</v>
      </c>
      <c r="I39" t="str">
        <f>+VLOOKUP(Sheet1!$D58,cond_inter!$A$2:$I$145,6,0)</f>
        <v>button</v>
      </c>
      <c r="J39" t="str">
        <f>+VLOOKUP(Sheet1!$D58,cond_inter!$A$2:$I$145,7,0)</f>
        <v>stim/button_press.png</v>
      </c>
      <c r="K39" t="str">
        <f>+VLOOKUP(Sheet1!$D58,cond_inter!$A$2:$I$145,8,0)</f>
        <v>money</v>
      </c>
      <c r="L39">
        <f>+VLOOKUP(Sheet1!$D58,cond_inter!$A$2:$I$145,9,0)</f>
        <v>49</v>
      </c>
    </row>
    <row r="40" spans="1:12" x14ac:dyDescent="0.3">
      <c r="A40">
        <f>+VLOOKUP(Sheet1!$D59,cond_inter!$A$2:$I$145,2,0)</f>
        <v>0.5</v>
      </c>
      <c r="B40">
        <f>+VLOOKUP(Sheet1!$D59,cond_inter!$A$2:$I$145,3,0)</f>
        <v>0.5</v>
      </c>
      <c r="C40">
        <f>+VLOOKUP(Sheet1!$D59,cond_inter!$A$2:$I$145,4,0)</f>
        <v>3</v>
      </c>
      <c r="D40">
        <f>+VLOOKUP(Sheet1!$D59,cond_inter!$A$2:$I$145,5,0)</f>
        <v>1</v>
      </c>
      <c r="E40">
        <f>+VLOOKUP(C40,Sheet1!$A$2:$B$4,2,0)</f>
        <v>90</v>
      </c>
      <c r="F40">
        <f>+VLOOKUP(D40,Sheet1!$A$2:$B$4,2,0)</f>
        <v>3</v>
      </c>
      <c r="G40" t="str">
        <f>+VLOOKUP(A40,Sheet1!$G$2:$H$4,2,0)</f>
        <v>DeepSkyBlue</v>
      </c>
      <c r="H40" t="str">
        <f>+VLOOKUP(B40,Sheet1!$G$2:$H$4,2,0)</f>
        <v>DeepSkyBlue</v>
      </c>
      <c r="I40" t="str">
        <f>+VLOOKUP(Sheet1!$D59,cond_inter!$A$2:$I$145,6,0)</f>
        <v>gaze</v>
      </c>
      <c r="J40" t="str">
        <f>+VLOOKUP(Sheet1!$D59,cond_inter!$A$2:$I$145,7,0)</f>
        <v>stim/eyes.png</v>
      </c>
      <c r="K40" t="str">
        <f>+VLOOKUP(Sheet1!$D59,cond_inter!$A$2:$I$145,8,0)</f>
        <v>money</v>
      </c>
      <c r="L40">
        <f>+VLOOKUP(Sheet1!$D59,cond_inter!$A$2:$I$145,9,0)</f>
        <v>83</v>
      </c>
    </row>
    <row r="41" spans="1:12" x14ac:dyDescent="0.3">
      <c r="A41">
        <f>+VLOOKUP(Sheet1!$D60,cond_inter!$A$2:$I$145,2,0)</f>
        <v>0.75</v>
      </c>
      <c r="B41">
        <f>+VLOOKUP(Sheet1!$D60,cond_inter!$A$2:$I$145,3,0)</f>
        <v>0.5</v>
      </c>
      <c r="C41">
        <f>+VLOOKUP(Sheet1!$D60,cond_inter!$A$2:$I$145,4,0)</f>
        <v>3</v>
      </c>
      <c r="D41">
        <f>+VLOOKUP(Sheet1!$D60,cond_inter!$A$2:$I$145,5,0)</f>
        <v>2</v>
      </c>
      <c r="E41">
        <f>+VLOOKUP(C41,Sheet1!$A$2:$B$4,2,0)</f>
        <v>90</v>
      </c>
      <c r="F41">
        <f>+VLOOKUP(D41,Sheet1!$A$2:$B$4,2,0)</f>
        <v>4</v>
      </c>
      <c r="G41" t="str">
        <f>+VLOOKUP(A41,Sheet1!$G$2:$H$4,2,0)</f>
        <v>Fuchsia</v>
      </c>
      <c r="H41" t="str">
        <f>+VLOOKUP(B41,Sheet1!$G$2:$H$4,2,0)</f>
        <v>DeepSkyBlue</v>
      </c>
      <c r="I41" t="str">
        <f>+VLOOKUP(Sheet1!$D60,cond_inter!$A$2:$I$145,6,0)</f>
        <v>gaze</v>
      </c>
      <c r="J41" t="str">
        <f>+VLOOKUP(Sheet1!$D60,cond_inter!$A$2:$I$145,7,0)</f>
        <v>stim/eyes.png</v>
      </c>
      <c r="K41" t="str">
        <f>+VLOOKUP(Sheet1!$D60,cond_inter!$A$2:$I$145,8,0)</f>
        <v>money</v>
      </c>
      <c r="L41">
        <f>+VLOOKUP(Sheet1!$D60,cond_inter!$A$2:$I$145,9,0)</f>
        <v>127</v>
      </c>
    </row>
    <row r="42" spans="1:12" x14ac:dyDescent="0.3">
      <c r="A42">
        <f>+VLOOKUP(Sheet1!$D61,cond_inter!$A$2:$I$145,2,0)</f>
        <v>0.5</v>
      </c>
      <c r="B42">
        <f>+VLOOKUP(Sheet1!$D61,cond_inter!$A$2:$I$145,3,0)</f>
        <v>0.5</v>
      </c>
      <c r="C42">
        <f>+VLOOKUP(Sheet1!$D61,cond_inter!$A$2:$I$145,4,0)</f>
        <v>2</v>
      </c>
      <c r="D42">
        <f>+VLOOKUP(Sheet1!$D61,cond_inter!$A$2:$I$145,5,0)</f>
        <v>3</v>
      </c>
      <c r="E42">
        <f>+VLOOKUP(C42,Sheet1!$A$2:$B$4,2,0)</f>
        <v>4</v>
      </c>
      <c r="F42">
        <f>+VLOOKUP(D42,Sheet1!$A$2:$B$4,2,0)</f>
        <v>90</v>
      </c>
      <c r="G42" t="str">
        <f>+VLOOKUP(A42,Sheet1!$G$2:$H$4,2,0)</f>
        <v>DeepSkyBlue</v>
      </c>
      <c r="H42" t="str">
        <f>+VLOOKUP(B42,Sheet1!$G$2:$H$4,2,0)</f>
        <v>DeepSkyBlue</v>
      </c>
      <c r="I42" t="str">
        <f>+VLOOKUP(Sheet1!$D61,cond_inter!$A$2:$I$145,6,0)</f>
        <v>gaze</v>
      </c>
      <c r="J42" t="str">
        <f>+VLOOKUP(Sheet1!$D61,cond_inter!$A$2:$I$145,7,0)</f>
        <v>stim/eyes.png</v>
      </c>
      <c r="K42" t="str">
        <f>+VLOOKUP(Sheet1!$D61,cond_inter!$A$2:$I$145,8,0)</f>
        <v>money</v>
      </c>
      <c r="L42">
        <f>+VLOOKUP(Sheet1!$D61,cond_inter!$A$2:$I$145,9,0)</f>
        <v>90</v>
      </c>
    </row>
    <row r="43" spans="1:12" x14ac:dyDescent="0.3">
      <c r="A43">
        <f>+VLOOKUP(Sheet1!$D62,cond_inter!$A$2:$I$145,2,0)</f>
        <v>0.5</v>
      </c>
      <c r="B43">
        <f>+VLOOKUP(Sheet1!$D62,cond_inter!$A$2:$I$145,3,0)</f>
        <v>0.25</v>
      </c>
      <c r="C43">
        <f>+VLOOKUP(Sheet1!$D62,cond_inter!$A$2:$I$145,4,0)</f>
        <v>3</v>
      </c>
      <c r="D43">
        <f>+VLOOKUP(Sheet1!$D62,cond_inter!$A$2:$I$145,5,0)</f>
        <v>3</v>
      </c>
      <c r="E43">
        <f>+VLOOKUP(C43,Sheet1!$A$2:$B$4,2,0)</f>
        <v>90</v>
      </c>
      <c r="F43">
        <f>+VLOOKUP(D43,Sheet1!$A$2:$B$4,2,0)</f>
        <v>90</v>
      </c>
      <c r="G43" t="str">
        <f>+VLOOKUP(A43,Sheet1!$G$2:$H$4,2,0)</f>
        <v>DeepSkyBlue</v>
      </c>
      <c r="H43" t="str">
        <f>+VLOOKUP(B43,Sheet1!$G$2:$H$4,2,0)</f>
        <v>gold</v>
      </c>
      <c r="I43" t="str">
        <f>+VLOOKUP(Sheet1!$D62,cond_inter!$A$2:$I$145,6,0)</f>
        <v>button</v>
      </c>
      <c r="J43" t="str">
        <f>+VLOOKUP(Sheet1!$D62,cond_inter!$A$2:$I$145,7,0)</f>
        <v>stim/button_press.png</v>
      </c>
      <c r="K43" t="str">
        <f>+VLOOKUP(Sheet1!$D62,cond_inter!$A$2:$I$145,8,0)</f>
        <v>money</v>
      </c>
      <c r="L43">
        <f>+VLOOKUP(Sheet1!$D62,cond_inter!$A$2:$I$145,9,0)</f>
        <v>65</v>
      </c>
    </row>
    <row r="44" spans="1:12" x14ac:dyDescent="0.3">
      <c r="A44">
        <f>+VLOOKUP(Sheet1!$D63,cond_inter!$A$2:$I$145,2,0)</f>
        <v>0.75</v>
      </c>
      <c r="B44">
        <f>+VLOOKUP(Sheet1!$D63,cond_inter!$A$2:$I$145,3,0)</f>
        <v>0.25</v>
      </c>
      <c r="C44">
        <f>+VLOOKUP(Sheet1!$D63,cond_inter!$A$2:$I$145,4,0)</f>
        <v>3</v>
      </c>
      <c r="D44">
        <f>+VLOOKUP(Sheet1!$D63,cond_inter!$A$2:$I$145,5,0)</f>
        <v>3</v>
      </c>
      <c r="E44">
        <f>+VLOOKUP(C44,Sheet1!$A$2:$B$4,2,0)</f>
        <v>90</v>
      </c>
      <c r="F44">
        <f>+VLOOKUP(D44,Sheet1!$A$2:$B$4,2,0)</f>
        <v>90</v>
      </c>
      <c r="G44" t="str">
        <f>+VLOOKUP(A44,Sheet1!$G$2:$H$4,2,0)</f>
        <v>Fuchsia</v>
      </c>
      <c r="H44" t="str">
        <f>+VLOOKUP(B44,Sheet1!$G$2:$H$4,2,0)</f>
        <v>gold</v>
      </c>
      <c r="I44" t="str">
        <f>+VLOOKUP(Sheet1!$D63,cond_inter!$A$2:$I$145,6,0)</f>
        <v>gaze</v>
      </c>
      <c r="J44" t="str">
        <f>+VLOOKUP(Sheet1!$D63,cond_inter!$A$2:$I$145,7,0)</f>
        <v>stim/eyes.png</v>
      </c>
      <c r="K44" t="str">
        <f>+VLOOKUP(Sheet1!$D63,cond_inter!$A$2:$I$145,8,0)</f>
        <v>money</v>
      </c>
      <c r="L44">
        <f>+VLOOKUP(Sheet1!$D63,cond_inter!$A$2:$I$145,9,0)</f>
        <v>139</v>
      </c>
    </row>
    <row r="45" spans="1:12" x14ac:dyDescent="0.3">
      <c r="A45">
        <f>+VLOOKUP(Sheet1!$D64,cond_inter!$A$2:$I$145,2,0)</f>
        <v>0.5</v>
      </c>
      <c r="B45">
        <f>+VLOOKUP(Sheet1!$D64,cond_inter!$A$2:$I$145,3,0)</f>
        <v>0.25</v>
      </c>
      <c r="C45">
        <f>+VLOOKUP(Sheet1!$D64,cond_inter!$A$2:$I$145,4,0)</f>
        <v>3</v>
      </c>
      <c r="D45">
        <f>+VLOOKUP(Sheet1!$D64,cond_inter!$A$2:$I$145,5,0)</f>
        <v>2</v>
      </c>
      <c r="E45">
        <f>+VLOOKUP(C45,Sheet1!$A$2:$B$4,2,0)</f>
        <v>90</v>
      </c>
      <c r="F45">
        <f>+VLOOKUP(D45,Sheet1!$A$2:$B$4,2,0)</f>
        <v>4</v>
      </c>
      <c r="G45" t="str">
        <f>+VLOOKUP(A45,Sheet1!$G$2:$H$4,2,0)</f>
        <v>DeepSkyBlue</v>
      </c>
      <c r="H45" t="str">
        <f>+VLOOKUP(B45,Sheet1!$G$2:$H$4,2,0)</f>
        <v>gold</v>
      </c>
      <c r="I45" t="str">
        <f>+VLOOKUP(Sheet1!$D64,cond_inter!$A$2:$I$145,6,0)</f>
        <v>gaze</v>
      </c>
      <c r="J45" t="str">
        <f>+VLOOKUP(Sheet1!$D64,cond_inter!$A$2:$I$145,7,0)</f>
        <v>stim/eyes.png</v>
      </c>
      <c r="K45" t="str">
        <f>+VLOOKUP(Sheet1!$D64,cond_inter!$A$2:$I$145,8,0)</f>
        <v>money</v>
      </c>
      <c r="L45">
        <f>+VLOOKUP(Sheet1!$D64,cond_inter!$A$2:$I$145,9,0)</f>
        <v>89</v>
      </c>
    </row>
    <row r="46" spans="1:12" x14ac:dyDescent="0.3">
      <c r="A46">
        <f>+VLOOKUP(Sheet1!$D65,cond_inter!$A$2:$I$145,2,0)</f>
        <v>0.25</v>
      </c>
      <c r="B46">
        <f>+VLOOKUP(Sheet1!$D65,cond_inter!$A$2:$I$145,3,0)</f>
        <v>0.75</v>
      </c>
      <c r="C46">
        <f>+VLOOKUP(Sheet1!$D65,cond_inter!$A$2:$I$145,4,0)</f>
        <v>2</v>
      </c>
      <c r="D46">
        <f>+VLOOKUP(Sheet1!$D65,cond_inter!$A$2:$I$145,5,0)</f>
        <v>2</v>
      </c>
      <c r="E46">
        <f>+VLOOKUP(C46,Sheet1!$A$2:$B$4,2,0)</f>
        <v>4</v>
      </c>
      <c r="F46">
        <f>+VLOOKUP(D46,Sheet1!$A$2:$B$4,2,0)</f>
        <v>4</v>
      </c>
      <c r="G46" t="str">
        <f>+VLOOKUP(A46,Sheet1!$G$2:$H$4,2,0)</f>
        <v>gold</v>
      </c>
      <c r="H46" t="str">
        <f>+VLOOKUP(B46,Sheet1!$G$2:$H$4,2,0)</f>
        <v>Fuchsia</v>
      </c>
      <c r="I46" t="str">
        <f>+VLOOKUP(Sheet1!$D65,cond_inter!$A$2:$I$145,6,0)</f>
        <v>button</v>
      </c>
      <c r="J46" t="str">
        <f>+VLOOKUP(Sheet1!$D65,cond_inter!$A$2:$I$145,7,0)</f>
        <v>stim/button_press.png</v>
      </c>
      <c r="K46" t="str">
        <f>+VLOOKUP(Sheet1!$D65,cond_inter!$A$2:$I$145,8,0)</f>
        <v>money</v>
      </c>
      <c r="L46">
        <f>+VLOOKUP(Sheet1!$D65,cond_inter!$A$2:$I$145,9,0)</f>
        <v>13</v>
      </c>
    </row>
    <row r="47" spans="1:12" x14ac:dyDescent="0.3">
      <c r="A47">
        <f>+VLOOKUP(Sheet1!$D66,cond_inter!$A$2:$I$145,2,0)</f>
        <v>0.5</v>
      </c>
      <c r="B47">
        <f>+VLOOKUP(Sheet1!$D66,cond_inter!$A$2:$I$145,3,0)</f>
        <v>0.25</v>
      </c>
      <c r="C47">
        <f>+VLOOKUP(Sheet1!$D66,cond_inter!$A$2:$I$145,4,0)</f>
        <v>1</v>
      </c>
      <c r="D47">
        <f>+VLOOKUP(Sheet1!$D66,cond_inter!$A$2:$I$145,5,0)</f>
        <v>1</v>
      </c>
      <c r="E47">
        <f>+VLOOKUP(C47,Sheet1!$A$2:$B$4,2,0)</f>
        <v>3</v>
      </c>
      <c r="F47">
        <f>+VLOOKUP(D47,Sheet1!$A$2:$B$4,2,0)</f>
        <v>3</v>
      </c>
      <c r="G47" t="str">
        <f>+VLOOKUP(A47,Sheet1!$G$2:$H$4,2,0)</f>
        <v>DeepSkyBlue</v>
      </c>
      <c r="H47" t="str">
        <f>+VLOOKUP(B47,Sheet1!$G$2:$H$4,2,0)</f>
        <v>gold</v>
      </c>
      <c r="I47" t="str">
        <f>+VLOOKUP(Sheet1!$D66,cond_inter!$A$2:$I$145,6,0)</f>
        <v>gaze</v>
      </c>
      <c r="J47" t="str">
        <f>+VLOOKUP(Sheet1!$D66,cond_inter!$A$2:$I$145,7,0)</f>
        <v>stim/eyes.png</v>
      </c>
      <c r="K47" t="str">
        <f>+VLOOKUP(Sheet1!$D66,cond_inter!$A$2:$I$145,8,0)</f>
        <v>money</v>
      </c>
      <c r="L47">
        <f>+VLOOKUP(Sheet1!$D66,cond_inter!$A$2:$I$145,9,0)</f>
        <v>85</v>
      </c>
    </row>
    <row r="48" spans="1:12" x14ac:dyDescent="0.3">
      <c r="A48">
        <f>+VLOOKUP(Sheet1!$D67,cond_inter!$A$2:$I$145,2,0)</f>
        <v>0.75</v>
      </c>
      <c r="B48">
        <f>+VLOOKUP(Sheet1!$D67,cond_inter!$A$2:$I$145,3,0)</f>
        <v>0.5</v>
      </c>
      <c r="C48">
        <f>+VLOOKUP(Sheet1!$D67,cond_inter!$A$2:$I$145,4,0)</f>
        <v>2</v>
      </c>
      <c r="D48">
        <f>+VLOOKUP(Sheet1!$D67,cond_inter!$A$2:$I$145,5,0)</f>
        <v>2</v>
      </c>
      <c r="E48">
        <f>+VLOOKUP(C48,Sheet1!$A$2:$B$4,2,0)</f>
        <v>4</v>
      </c>
      <c r="F48">
        <f>+VLOOKUP(D48,Sheet1!$A$2:$B$4,2,0)</f>
        <v>4</v>
      </c>
      <c r="G48" t="str">
        <f>+VLOOKUP(A48,Sheet1!$G$2:$H$4,2,0)</f>
        <v>Fuchsia</v>
      </c>
      <c r="H48" t="str">
        <f>+VLOOKUP(B48,Sheet1!$G$2:$H$4,2,0)</f>
        <v>DeepSkyBlue</v>
      </c>
      <c r="I48" t="str">
        <f>+VLOOKUP(Sheet1!$D67,cond_inter!$A$2:$I$145,6,0)</f>
        <v>gaze</v>
      </c>
      <c r="J48" t="str">
        <f>+VLOOKUP(Sheet1!$D67,cond_inter!$A$2:$I$145,7,0)</f>
        <v>stim/eyes.png</v>
      </c>
      <c r="K48" t="str">
        <f>+VLOOKUP(Sheet1!$D67,cond_inter!$A$2:$I$145,8,0)</f>
        <v>money</v>
      </c>
      <c r="L48">
        <f>+VLOOKUP(Sheet1!$D67,cond_inter!$A$2:$I$145,9,0)</f>
        <v>138</v>
      </c>
    </row>
    <row r="49" spans="1:12" x14ac:dyDescent="0.3">
      <c r="A49">
        <f>+VLOOKUP(Sheet1!$D68,cond_inter!$A$2:$I$145,2,0)</f>
        <v>0.25</v>
      </c>
      <c r="B49">
        <f>+VLOOKUP(Sheet1!$D68,cond_inter!$A$2:$I$145,3,0)</f>
        <v>0.5</v>
      </c>
      <c r="C49">
        <f>+VLOOKUP(Sheet1!$D68,cond_inter!$A$2:$I$145,4,0)</f>
        <v>3</v>
      </c>
      <c r="D49">
        <f>+VLOOKUP(Sheet1!$D68,cond_inter!$A$2:$I$145,5,0)</f>
        <v>3</v>
      </c>
      <c r="E49">
        <f>+VLOOKUP(C49,Sheet1!$A$2:$B$4,2,0)</f>
        <v>90</v>
      </c>
      <c r="F49">
        <f>+VLOOKUP(D49,Sheet1!$A$2:$B$4,2,0)</f>
        <v>90</v>
      </c>
      <c r="G49" t="str">
        <f>+VLOOKUP(A49,Sheet1!$G$2:$H$4,2,0)</f>
        <v>gold</v>
      </c>
      <c r="H49" t="str">
        <f>+VLOOKUP(B49,Sheet1!$G$2:$H$4,2,0)</f>
        <v>DeepSkyBlue</v>
      </c>
      <c r="I49" t="str">
        <f>+VLOOKUP(Sheet1!$D68,cond_inter!$A$2:$I$145,6,0)</f>
        <v>gaze</v>
      </c>
      <c r="J49" t="str">
        <f>+VLOOKUP(Sheet1!$D68,cond_inter!$A$2:$I$145,7,0)</f>
        <v>stim/eyes.png</v>
      </c>
      <c r="K49" t="str">
        <f>+VLOOKUP(Sheet1!$D68,cond_inter!$A$2:$I$145,8,0)</f>
        <v>money</v>
      </c>
      <c r="L49">
        <f>+VLOOKUP(Sheet1!$D68,cond_inter!$A$2:$I$145,9,0)</f>
        <v>44</v>
      </c>
    </row>
    <row r="50" spans="1:12" x14ac:dyDescent="0.3">
      <c r="A50">
        <f>+VLOOKUP(Sheet1!$D69,cond_inter!$A$2:$I$145,2,0)</f>
        <v>0.75</v>
      </c>
      <c r="B50">
        <f>+VLOOKUP(Sheet1!$D69,cond_inter!$A$2:$I$145,3,0)</f>
        <v>0.5</v>
      </c>
      <c r="C50">
        <f>+VLOOKUP(Sheet1!$D69,cond_inter!$A$2:$I$145,4,0)</f>
        <v>2</v>
      </c>
      <c r="D50">
        <f>+VLOOKUP(Sheet1!$D69,cond_inter!$A$2:$I$145,5,0)</f>
        <v>2</v>
      </c>
      <c r="E50">
        <f>+VLOOKUP(C50,Sheet1!$A$2:$B$4,2,0)</f>
        <v>4</v>
      </c>
      <c r="F50">
        <f>+VLOOKUP(D50,Sheet1!$A$2:$B$4,2,0)</f>
        <v>4</v>
      </c>
      <c r="G50" t="str">
        <f>+VLOOKUP(A50,Sheet1!$G$2:$H$4,2,0)</f>
        <v>Fuchsia</v>
      </c>
      <c r="H50" t="str">
        <f>+VLOOKUP(B50,Sheet1!$G$2:$H$4,2,0)</f>
        <v>DeepSkyBlue</v>
      </c>
      <c r="I50" t="str">
        <f>+VLOOKUP(Sheet1!$D69,cond_inter!$A$2:$I$145,6,0)</f>
        <v>button</v>
      </c>
      <c r="J50" t="str">
        <f>+VLOOKUP(Sheet1!$D69,cond_inter!$A$2:$I$145,7,0)</f>
        <v>stim/button_press.png</v>
      </c>
      <c r="K50" t="str">
        <f>+VLOOKUP(Sheet1!$D69,cond_inter!$A$2:$I$145,8,0)</f>
        <v>money</v>
      </c>
      <c r="L50">
        <f>+VLOOKUP(Sheet1!$D69,cond_inter!$A$2:$I$145,9,0)</f>
        <v>106</v>
      </c>
    </row>
    <row r="51" spans="1:12" x14ac:dyDescent="0.3">
      <c r="A51">
        <f>+VLOOKUP(Sheet1!$D70,cond_inter!$A$2:$I$145,2,0)</f>
        <v>0.75</v>
      </c>
      <c r="B51">
        <f>+VLOOKUP(Sheet1!$D70,cond_inter!$A$2:$I$145,3,0)</f>
        <v>0.5</v>
      </c>
      <c r="C51">
        <f>+VLOOKUP(Sheet1!$D70,cond_inter!$A$2:$I$145,4,0)</f>
        <v>2</v>
      </c>
      <c r="D51">
        <f>+VLOOKUP(Sheet1!$D70,cond_inter!$A$2:$I$145,5,0)</f>
        <v>1</v>
      </c>
      <c r="E51">
        <f>+VLOOKUP(C51,Sheet1!$A$2:$B$4,2,0)</f>
        <v>4</v>
      </c>
      <c r="F51">
        <f>+VLOOKUP(D51,Sheet1!$A$2:$B$4,2,0)</f>
        <v>3</v>
      </c>
      <c r="G51" t="str">
        <f>+VLOOKUP(A51,Sheet1!$G$2:$H$4,2,0)</f>
        <v>Fuchsia</v>
      </c>
      <c r="H51" t="str">
        <f>+VLOOKUP(B51,Sheet1!$G$2:$H$4,2,0)</f>
        <v>DeepSkyBlue</v>
      </c>
      <c r="I51" t="str">
        <f>+VLOOKUP(Sheet1!$D70,cond_inter!$A$2:$I$145,6,0)</f>
        <v>button</v>
      </c>
      <c r="J51" t="str">
        <f>+VLOOKUP(Sheet1!$D70,cond_inter!$A$2:$I$145,7,0)</f>
        <v>stim/button_press.png</v>
      </c>
      <c r="K51" t="str">
        <f>+VLOOKUP(Sheet1!$D70,cond_inter!$A$2:$I$145,8,0)</f>
        <v>money</v>
      </c>
      <c r="L51">
        <f>+VLOOKUP(Sheet1!$D70,cond_inter!$A$2:$I$145,9,0)</f>
        <v>105</v>
      </c>
    </row>
    <row r="52" spans="1:12" x14ac:dyDescent="0.3">
      <c r="A52">
        <f>+VLOOKUP(Sheet1!$D71,cond_inter!$A$2:$I$145,2,0)</f>
        <v>0.25</v>
      </c>
      <c r="B52">
        <f>+VLOOKUP(Sheet1!$D71,cond_inter!$A$2:$I$145,3,0)</f>
        <v>0.25</v>
      </c>
      <c r="C52">
        <f>+VLOOKUP(Sheet1!$D71,cond_inter!$A$2:$I$145,4,0)</f>
        <v>1</v>
      </c>
      <c r="D52">
        <f>+VLOOKUP(Sheet1!$D71,cond_inter!$A$2:$I$145,5,0)</f>
        <v>2</v>
      </c>
      <c r="E52">
        <f>+VLOOKUP(C52,Sheet1!$A$2:$B$4,2,0)</f>
        <v>3</v>
      </c>
      <c r="F52">
        <f>+VLOOKUP(D52,Sheet1!$A$2:$B$4,2,0)</f>
        <v>4</v>
      </c>
      <c r="G52" t="str">
        <f>+VLOOKUP(A52,Sheet1!$G$2:$H$4,2,0)</f>
        <v>gold</v>
      </c>
      <c r="H52" t="str">
        <f>+VLOOKUP(B52,Sheet1!$G$2:$H$4,2,0)</f>
        <v>gold</v>
      </c>
      <c r="I52" t="str">
        <f>+VLOOKUP(Sheet1!$D71,cond_inter!$A$2:$I$145,6,0)</f>
        <v>gaze</v>
      </c>
      <c r="J52" t="str">
        <f>+VLOOKUP(Sheet1!$D71,cond_inter!$A$2:$I$145,7,0)</f>
        <v>stim/eyes.png</v>
      </c>
      <c r="K52" t="str">
        <f>+VLOOKUP(Sheet1!$D71,cond_inter!$A$2:$I$145,8,0)</f>
        <v>money</v>
      </c>
      <c r="L52">
        <f>+VLOOKUP(Sheet1!$D71,cond_inter!$A$2:$I$145,9,0)</f>
        <v>33</v>
      </c>
    </row>
    <row r="53" spans="1:12" x14ac:dyDescent="0.3">
      <c r="A53">
        <f>+VLOOKUP(Sheet1!$D72,cond_inter!$A$2:$I$145,2,0)</f>
        <v>0.5</v>
      </c>
      <c r="B53">
        <f>+VLOOKUP(Sheet1!$D72,cond_inter!$A$2:$I$145,3,0)</f>
        <v>0.75</v>
      </c>
      <c r="C53">
        <f>+VLOOKUP(Sheet1!$D72,cond_inter!$A$2:$I$145,4,0)</f>
        <v>3</v>
      </c>
      <c r="D53">
        <f>+VLOOKUP(Sheet1!$D72,cond_inter!$A$2:$I$145,5,0)</f>
        <v>3</v>
      </c>
      <c r="E53">
        <f>+VLOOKUP(C53,Sheet1!$A$2:$B$4,2,0)</f>
        <v>90</v>
      </c>
      <c r="F53">
        <f>+VLOOKUP(D53,Sheet1!$A$2:$B$4,2,0)</f>
        <v>90</v>
      </c>
      <c r="G53" t="str">
        <f>+VLOOKUP(A53,Sheet1!$G$2:$H$4,2,0)</f>
        <v>DeepSkyBlue</v>
      </c>
      <c r="H53" t="str">
        <f>+VLOOKUP(B53,Sheet1!$G$2:$H$4,2,0)</f>
        <v>Fuchsia</v>
      </c>
      <c r="I53" t="str">
        <f>+VLOOKUP(Sheet1!$D72,cond_inter!$A$2:$I$145,6,0)</f>
        <v>button</v>
      </c>
      <c r="J53" t="str">
        <f>+VLOOKUP(Sheet1!$D72,cond_inter!$A$2:$I$145,7,0)</f>
        <v>stim/button_press.png</v>
      </c>
      <c r="K53" t="str">
        <f>+VLOOKUP(Sheet1!$D72,cond_inter!$A$2:$I$145,8,0)</f>
        <v>money</v>
      </c>
      <c r="L53">
        <f>+VLOOKUP(Sheet1!$D72,cond_inter!$A$2:$I$145,9,0)</f>
        <v>62</v>
      </c>
    </row>
    <row r="54" spans="1:12" x14ac:dyDescent="0.3">
      <c r="A54">
        <f>+VLOOKUP(Sheet1!$D73,cond_inter!$A$2:$I$145,2,0)</f>
        <v>0.75</v>
      </c>
      <c r="B54">
        <f>+VLOOKUP(Sheet1!$D73,cond_inter!$A$2:$I$145,3,0)</f>
        <v>0.25</v>
      </c>
      <c r="C54">
        <f>+VLOOKUP(Sheet1!$D73,cond_inter!$A$2:$I$145,4,0)</f>
        <v>3</v>
      </c>
      <c r="D54">
        <f>+VLOOKUP(Sheet1!$D73,cond_inter!$A$2:$I$145,5,0)</f>
        <v>2</v>
      </c>
      <c r="E54">
        <f>+VLOOKUP(C54,Sheet1!$A$2:$B$4,2,0)</f>
        <v>90</v>
      </c>
      <c r="F54">
        <f>+VLOOKUP(D54,Sheet1!$A$2:$B$4,2,0)</f>
        <v>4</v>
      </c>
      <c r="G54" t="str">
        <f>+VLOOKUP(A54,Sheet1!$G$2:$H$4,2,0)</f>
        <v>Fuchsia</v>
      </c>
      <c r="H54" t="str">
        <f>+VLOOKUP(B54,Sheet1!$G$2:$H$4,2,0)</f>
        <v>gold</v>
      </c>
      <c r="I54" t="str">
        <f>+VLOOKUP(Sheet1!$D73,cond_inter!$A$2:$I$145,6,0)</f>
        <v>button</v>
      </c>
      <c r="J54" t="str">
        <f>+VLOOKUP(Sheet1!$D73,cond_inter!$A$2:$I$145,7,0)</f>
        <v>stim/button_press.png</v>
      </c>
      <c r="K54" t="str">
        <f>+VLOOKUP(Sheet1!$D73,cond_inter!$A$2:$I$145,8,0)</f>
        <v>money</v>
      </c>
      <c r="L54">
        <f>+VLOOKUP(Sheet1!$D73,cond_inter!$A$2:$I$145,9,0)</f>
        <v>116</v>
      </c>
    </row>
    <row r="55" spans="1:12" x14ac:dyDescent="0.3">
      <c r="A55">
        <f>+VLOOKUP(Sheet1!$D74,cond_inter!$A$2:$I$145,2,0)</f>
        <v>0.25</v>
      </c>
      <c r="B55">
        <f>+VLOOKUP(Sheet1!$D74,cond_inter!$A$2:$I$145,3,0)</f>
        <v>0.5</v>
      </c>
      <c r="C55">
        <f>+VLOOKUP(Sheet1!$D74,cond_inter!$A$2:$I$145,4,0)</f>
        <v>2</v>
      </c>
      <c r="D55">
        <f>+VLOOKUP(Sheet1!$D74,cond_inter!$A$2:$I$145,5,0)</f>
        <v>1</v>
      </c>
      <c r="E55">
        <f>+VLOOKUP(C55,Sheet1!$A$2:$B$4,2,0)</f>
        <v>4</v>
      </c>
      <c r="F55">
        <f>+VLOOKUP(D55,Sheet1!$A$2:$B$4,2,0)</f>
        <v>3</v>
      </c>
      <c r="G55" t="str">
        <f>+VLOOKUP(A55,Sheet1!$G$2:$H$4,2,0)</f>
        <v>gold</v>
      </c>
      <c r="H55" t="str">
        <f>+VLOOKUP(B55,Sheet1!$G$2:$H$4,2,0)</f>
        <v>DeepSkyBlue</v>
      </c>
      <c r="I55" t="str">
        <f>+VLOOKUP(Sheet1!$D74,cond_inter!$A$2:$I$145,6,0)</f>
        <v>gaze</v>
      </c>
      <c r="J55" t="str">
        <f>+VLOOKUP(Sheet1!$D74,cond_inter!$A$2:$I$145,7,0)</f>
        <v>stim/eyes.png</v>
      </c>
      <c r="K55" t="str">
        <f>+VLOOKUP(Sheet1!$D74,cond_inter!$A$2:$I$145,8,0)</f>
        <v>money</v>
      </c>
      <c r="L55">
        <f>+VLOOKUP(Sheet1!$D74,cond_inter!$A$2:$I$145,9,0)</f>
        <v>31</v>
      </c>
    </row>
    <row r="56" spans="1:12" x14ac:dyDescent="0.3">
      <c r="A56">
        <f>+VLOOKUP(Sheet1!$D75,cond_inter!$A$2:$I$145,2,0)</f>
        <v>0.5</v>
      </c>
      <c r="B56">
        <f>+VLOOKUP(Sheet1!$D75,cond_inter!$A$2:$I$145,3,0)</f>
        <v>0.75</v>
      </c>
      <c r="C56">
        <f>+VLOOKUP(Sheet1!$D75,cond_inter!$A$2:$I$145,4,0)</f>
        <v>1</v>
      </c>
      <c r="D56">
        <f>+VLOOKUP(Sheet1!$D75,cond_inter!$A$2:$I$145,5,0)</f>
        <v>1</v>
      </c>
      <c r="E56">
        <f>+VLOOKUP(C56,Sheet1!$A$2:$B$4,2,0)</f>
        <v>3</v>
      </c>
      <c r="F56">
        <f>+VLOOKUP(D56,Sheet1!$A$2:$B$4,2,0)</f>
        <v>3</v>
      </c>
      <c r="G56" t="str">
        <f>+VLOOKUP(A56,Sheet1!$G$2:$H$4,2,0)</f>
        <v>DeepSkyBlue</v>
      </c>
      <c r="H56" t="str">
        <f>+VLOOKUP(B56,Sheet1!$G$2:$H$4,2,0)</f>
        <v>Fuchsia</v>
      </c>
      <c r="I56" t="str">
        <f>+VLOOKUP(Sheet1!$D75,cond_inter!$A$2:$I$145,6,0)</f>
        <v>button</v>
      </c>
      <c r="J56" t="str">
        <f>+VLOOKUP(Sheet1!$D75,cond_inter!$A$2:$I$145,7,0)</f>
        <v>stim/button_press.png</v>
      </c>
      <c r="K56" t="str">
        <f>+VLOOKUP(Sheet1!$D75,cond_inter!$A$2:$I$145,8,0)</f>
        <v>money</v>
      </c>
      <c r="L56">
        <f>+VLOOKUP(Sheet1!$D75,cond_inter!$A$2:$I$145,9,0)</f>
        <v>68</v>
      </c>
    </row>
    <row r="57" spans="1:12" x14ac:dyDescent="0.3">
      <c r="A57">
        <f>+VLOOKUP(Sheet1!$D76,cond_inter!$A$2:$I$145,2,0)</f>
        <v>0.25</v>
      </c>
      <c r="B57">
        <f>+VLOOKUP(Sheet1!$D76,cond_inter!$A$2:$I$145,3,0)</f>
        <v>0.25</v>
      </c>
      <c r="C57">
        <f>+VLOOKUP(Sheet1!$D76,cond_inter!$A$2:$I$145,4,0)</f>
        <v>2</v>
      </c>
      <c r="D57">
        <f>+VLOOKUP(Sheet1!$D76,cond_inter!$A$2:$I$145,5,0)</f>
        <v>1</v>
      </c>
      <c r="E57">
        <f>+VLOOKUP(C57,Sheet1!$A$2:$B$4,2,0)</f>
        <v>4</v>
      </c>
      <c r="F57">
        <f>+VLOOKUP(D57,Sheet1!$A$2:$B$4,2,0)</f>
        <v>3</v>
      </c>
      <c r="G57" t="str">
        <f>+VLOOKUP(A57,Sheet1!$G$2:$H$4,2,0)</f>
        <v>gold</v>
      </c>
      <c r="H57" t="str">
        <f>+VLOOKUP(B57,Sheet1!$G$2:$H$4,2,0)</f>
        <v>gold</v>
      </c>
      <c r="I57" t="str">
        <f>+VLOOKUP(Sheet1!$D76,cond_inter!$A$2:$I$145,6,0)</f>
        <v>gaze</v>
      </c>
      <c r="J57" t="str">
        <f>+VLOOKUP(Sheet1!$D76,cond_inter!$A$2:$I$145,7,0)</f>
        <v>stim/eyes.png</v>
      </c>
      <c r="K57" t="str">
        <f>+VLOOKUP(Sheet1!$D76,cond_inter!$A$2:$I$145,8,0)</f>
        <v>money</v>
      </c>
      <c r="L57">
        <f>+VLOOKUP(Sheet1!$D76,cond_inter!$A$2:$I$145,9,0)</f>
        <v>45</v>
      </c>
    </row>
    <row r="58" spans="1:12" x14ac:dyDescent="0.3">
      <c r="A58">
        <f>+VLOOKUP(Sheet1!$D77,cond_inter!$A$2:$I$145,2,0)</f>
        <v>0.25</v>
      </c>
      <c r="B58">
        <f>+VLOOKUP(Sheet1!$D77,cond_inter!$A$2:$I$145,3,0)</f>
        <v>0.25</v>
      </c>
      <c r="C58">
        <f>+VLOOKUP(Sheet1!$D77,cond_inter!$A$2:$I$145,4,0)</f>
        <v>2</v>
      </c>
      <c r="D58">
        <f>+VLOOKUP(Sheet1!$D77,cond_inter!$A$2:$I$145,5,0)</f>
        <v>3</v>
      </c>
      <c r="E58">
        <f>+VLOOKUP(C58,Sheet1!$A$2:$B$4,2,0)</f>
        <v>4</v>
      </c>
      <c r="F58">
        <f>+VLOOKUP(D58,Sheet1!$A$2:$B$4,2,0)</f>
        <v>90</v>
      </c>
      <c r="G58" t="str">
        <f>+VLOOKUP(A58,Sheet1!$G$2:$H$4,2,0)</f>
        <v>gold</v>
      </c>
      <c r="H58" t="str">
        <f>+VLOOKUP(B58,Sheet1!$G$2:$H$4,2,0)</f>
        <v>gold</v>
      </c>
      <c r="I58" t="str">
        <f>+VLOOKUP(Sheet1!$D77,cond_inter!$A$2:$I$145,6,0)</f>
        <v>gaze</v>
      </c>
      <c r="J58" t="str">
        <f>+VLOOKUP(Sheet1!$D77,cond_inter!$A$2:$I$145,7,0)</f>
        <v>stim/eyes.png</v>
      </c>
      <c r="K58" t="str">
        <f>+VLOOKUP(Sheet1!$D77,cond_inter!$A$2:$I$145,8,0)</f>
        <v>money</v>
      </c>
      <c r="L58">
        <f>+VLOOKUP(Sheet1!$D77,cond_inter!$A$2:$I$145,9,0)</f>
        <v>46</v>
      </c>
    </row>
    <row r="59" spans="1:12" x14ac:dyDescent="0.3">
      <c r="A59">
        <f>+VLOOKUP(Sheet1!$D78,cond_inter!$A$2:$I$145,2,0)</f>
        <v>0.75</v>
      </c>
      <c r="B59">
        <f>+VLOOKUP(Sheet1!$D78,cond_inter!$A$2:$I$145,3,0)</f>
        <v>0.75</v>
      </c>
      <c r="C59">
        <f>+VLOOKUP(Sheet1!$D78,cond_inter!$A$2:$I$145,4,0)</f>
        <v>1</v>
      </c>
      <c r="D59">
        <f>+VLOOKUP(Sheet1!$D78,cond_inter!$A$2:$I$145,5,0)</f>
        <v>3</v>
      </c>
      <c r="E59">
        <f>+VLOOKUP(C59,Sheet1!$A$2:$B$4,2,0)</f>
        <v>3</v>
      </c>
      <c r="F59">
        <f>+VLOOKUP(D59,Sheet1!$A$2:$B$4,2,0)</f>
        <v>90</v>
      </c>
      <c r="G59" t="str">
        <f>+VLOOKUP(A59,Sheet1!$G$2:$H$4,2,0)</f>
        <v>Fuchsia</v>
      </c>
      <c r="H59" t="str">
        <f>+VLOOKUP(B59,Sheet1!$G$2:$H$4,2,0)</f>
        <v>Fuchsia</v>
      </c>
      <c r="I59" t="str">
        <f>+VLOOKUP(Sheet1!$D78,cond_inter!$A$2:$I$145,6,0)</f>
        <v>gaze</v>
      </c>
      <c r="J59" t="str">
        <f>+VLOOKUP(Sheet1!$D78,cond_inter!$A$2:$I$145,7,0)</f>
        <v>stim/eyes.png</v>
      </c>
      <c r="K59" t="str">
        <f>+VLOOKUP(Sheet1!$D78,cond_inter!$A$2:$I$145,8,0)</f>
        <v>money</v>
      </c>
      <c r="L59">
        <f>+VLOOKUP(Sheet1!$D78,cond_inter!$A$2:$I$145,9,0)</f>
        <v>123</v>
      </c>
    </row>
    <row r="60" spans="1:12" x14ac:dyDescent="0.3">
      <c r="A60">
        <f>+VLOOKUP(Sheet1!$D79,cond_inter!$A$2:$I$145,2,0)</f>
        <v>0.25</v>
      </c>
      <c r="B60">
        <f>+VLOOKUP(Sheet1!$D79,cond_inter!$A$2:$I$145,3,0)</f>
        <v>0.75</v>
      </c>
      <c r="C60">
        <f>+VLOOKUP(Sheet1!$D79,cond_inter!$A$2:$I$145,4,0)</f>
        <v>3</v>
      </c>
      <c r="D60">
        <f>+VLOOKUP(Sheet1!$D79,cond_inter!$A$2:$I$145,5,0)</f>
        <v>3</v>
      </c>
      <c r="E60">
        <f>+VLOOKUP(C60,Sheet1!$A$2:$B$4,2,0)</f>
        <v>90</v>
      </c>
      <c r="F60">
        <f>+VLOOKUP(D60,Sheet1!$A$2:$B$4,2,0)</f>
        <v>90</v>
      </c>
      <c r="G60" t="str">
        <f>+VLOOKUP(A60,Sheet1!$G$2:$H$4,2,0)</f>
        <v>gold</v>
      </c>
      <c r="H60" t="str">
        <f>+VLOOKUP(B60,Sheet1!$G$2:$H$4,2,0)</f>
        <v>Fuchsia</v>
      </c>
      <c r="I60" t="str">
        <f>+VLOOKUP(Sheet1!$D79,cond_inter!$A$2:$I$145,6,0)</f>
        <v>button</v>
      </c>
      <c r="J60" t="str">
        <f>+VLOOKUP(Sheet1!$D79,cond_inter!$A$2:$I$145,7,0)</f>
        <v>stim/button_press.png</v>
      </c>
      <c r="K60" t="str">
        <f>+VLOOKUP(Sheet1!$D79,cond_inter!$A$2:$I$145,8,0)</f>
        <v>money</v>
      </c>
      <c r="L60">
        <f>+VLOOKUP(Sheet1!$D79,cond_inter!$A$2:$I$145,9,0)</f>
        <v>16</v>
      </c>
    </row>
    <row r="61" spans="1:12" x14ac:dyDescent="0.3">
      <c r="A61">
        <f>+VLOOKUP(Sheet1!$D80,cond_inter!$A$2:$I$145,2,0)</f>
        <v>0.25</v>
      </c>
      <c r="B61">
        <f>+VLOOKUP(Sheet1!$D80,cond_inter!$A$2:$I$145,3,0)</f>
        <v>0.25</v>
      </c>
      <c r="C61">
        <f>+VLOOKUP(Sheet1!$D80,cond_inter!$A$2:$I$145,4,0)</f>
        <v>1</v>
      </c>
      <c r="D61">
        <f>+VLOOKUP(Sheet1!$D80,cond_inter!$A$2:$I$145,5,0)</f>
        <v>3</v>
      </c>
      <c r="E61">
        <f>+VLOOKUP(C61,Sheet1!$A$2:$B$4,2,0)</f>
        <v>3</v>
      </c>
      <c r="F61">
        <f>+VLOOKUP(D61,Sheet1!$A$2:$B$4,2,0)</f>
        <v>90</v>
      </c>
      <c r="G61" t="str">
        <f>+VLOOKUP(A61,Sheet1!$G$2:$H$4,2,0)</f>
        <v>gold</v>
      </c>
      <c r="H61" t="str">
        <f>+VLOOKUP(B61,Sheet1!$G$2:$H$4,2,0)</f>
        <v>gold</v>
      </c>
      <c r="I61" t="str">
        <f>+VLOOKUP(Sheet1!$D80,cond_inter!$A$2:$I$145,6,0)</f>
        <v>button</v>
      </c>
      <c r="J61" t="str">
        <f>+VLOOKUP(Sheet1!$D80,cond_inter!$A$2:$I$145,7,0)</f>
        <v>stim/button_press.png</v>
      </c>
      <c r="K61" t="str">
        <f>+VLOOKUP(Sheet1!$D80,cond_inter!$A$2:$I$145,8,0)</f>
        <v>money</v>
      </c>
      <c r="L61">
        <f>+VLOOKUP(Sheet1!$D80,cond_inter!$A$2:$I$145,9,0)</f>
        <v>6</v>
      </c>
    </row>
    <row r="62" spans="1:12" x14ac:dyDescent="0.3">
      <c r="A62">
        <f>+VLOOKUP(Sheet1!$D81,cond_inter!$A$2:$I$145,2,0)</f>
        <v>0.5</v>
      </c>
      <c r="B62">
        <f>+VLOOKUP(Sheet1!$D81,cond_inter!$A$2:$I$145,3,0)</f>
        <v>0.25</v>
      </c>
      <c r="C62">
        <f>+VLOOKUP(Sheet1!$D81,cond_inter!$A$2:$I$145,4,0)</f>
        <v>2</v>
      </c>
      <c r="D62">
        <f>+VLOOKUP(Sheet1!$D81,cond_inter!$A$2:$I$145,5,0)</f>
        <v>2</v>
      </c>
      <c r="E62">
        <f>+VLOOKUP(C62,Sheet1!$A$2:$B$4,2,0)</f>
        <v>4</v>
      </c>
      <c r="F62">
        <f>+VLOOKUP(D62,Sheet1!$A$2:$B$4,2,0)</f>
        <v>4</v>
      </c>
      <c r="G62" t="str">
        <f>+VLOOKUP(A62,Sheet1!$G$2:$H$4,2,0)</f>
        <v>DeepSkyBlue</v>
      </c>
      <c r="H62" t="str">
        <f>+VLOOKUP(B62,Sheet1!$G$2:$H$4,2,0)</f>
        <v>gold</v>
      </c>
      <c r="I62" t="str">
        <f>+VLOOKUP(Sheet1!$D81,cond_inter!$A$2:$I$145,6,0)</f>
        <v>button</v>
      </c>
      <c r="J62" t="str">
        <f>+VLOOKUP(Sheet1!$D81,cond_inter!$A$2:$I$145,7,0)</f>
        <v>stim/button_press.png</v>
      </c>
      <c r="K62" t="str">
        <f>+VLOOKUP(Sheet1!$D81,cond_inter!$A$2:$I$145,8,0)</f>
        <v>money</v>
      </c>
      <c r="L62">
        <f>+VLOOKUP(Sheet1!$D81,cond_inter!$A$2:$I$145,9,0)</f>
        <v>48</v>
      </c>
    </row>
    <row r="63" spans="1:12" x14ac:dyDescent="0.3">
      <c r="A63">
        <f>+VLOOKUP(Sheet1!$D82,cond_inter!$A$2:$I$145,2,0)</f>
        <v>0.25</v>
      </c>
      <c r="B63">
        <f>+VLOOKUP(Sheet1!$D82,cond_inter!$A$2:$I$145,3,0)</f>
        <v>0.75</v>
      </c>
      <c r="C63">
        <f>+VLOOKUP(Sheet1!$D82,cond_inter!$A$2:$I$145,4,0)</f>
        <v>1</v>
      </c>
      <c r="D63">
        <f>+VLOOKUP(Sheet1!$D82,cond_inter!$A$2:$I$145,5,0)</f>
        <v>1</v>
      </c>
      <c r="E63">
        <f>+VLOOKUP(C63,Sheet1!$A$2:$B$4,2,0)</f>
        <v>3</v>
      </c>
      <c r="F63">
        <f>+VLOOKUP(D63,Sheet1!$A$2:$B$4,2,0)</f>
        <v>3</v>
      </c>
      <c r="G63" t="str">
        <f>+VLOOKUP(A63,Sheet1!$G$2:$H$4,2,0)</f>
        <v>gold</v>
      </c>
      <c r="H63" t="str">
        <f>+VLOOKUP(B63,Sheet1!$G$2:$H$4,2,0)</f>
        <v>Fuchsia</v>
      </c>
      <c r="I63" t="str">
        <f>+VLOOKUP(Sheet1!$D82,cond_inter!$A$2:$I$145,6,0)</f>
        <v>gaze</v>
      </c>
      <c r="J63" t="str">
        <f>+VLOOKUP(Sheet1!$D82,cond_inter!$A$2:$I$145,7,0)</f>
        <v>stim/eyes.png</v>
      </c>
      <c r="K63" t="str">
        <f>+VLOOKUP(Sheet1!$D82,cond_inter!$A$2:$I$145,8,0)</f>
        <v>money</v>
      </c>
      <c r="L63">
        <f>+VLOOKUP(Sheet1!$D82,cond_inter!$A$2:$I$145,9,0)</f>
        <v>32</v>
      </c>
    </row>
    <row r="64" spans="1:12" x14ac:dyDescent="0.3">
      <c r="A64">
        <f>+VLOOKUP(Sheet1!$D83,cond_inter!$A$2:$I$145,2,0)</f>
        <v>0.25</v>
      </c>
      <c r="B64">
        <f>+VLOOKUP(Sheet1!$D83,cond_inter!$A$2:$I$145,3,0)</f>
        <v>0.25</v>
      </c>
      <c r="C64">
        <f>+VLOOKUP(Sheet1!$D83,cond_inter!$A$2:$I$145,4,0)</f>
        <v>1</v>
      </c>
      <c r="D64">
        <f>+VLOOKUP(Sheet1!$D83,cond_inter!$A$2:$I$145,5,0)</f>
        <v>3</v>
      </c>
      <c r="E64">
        <f>+VLOOKUP(C64,Sheet1!$A$2:$B$4,2,0)</f>
        <v>3</v>
      </c>
      <c r="F64">
        <f>+VLOOKUP(D64,Sheet1!$A$2:$B$4,2,0)</f>
        <v>90</v>
      </c>
      <c r="G64" t="str">
        <f>+VLOOKUP(A64,Sheet1!$G$2:$H$4,2,0)</f>
        <v>gold</v>
      </c>
      <c r="H64" t="str">
        <f>+VLOOKUP(B64,Sheet1!$G$2:$H$4,2,0)</f>
        <v>gold</v>
      </c>
      <c r="I64" t="str">
        <f>+VLOOKUP(Sheet1!$D83,cond_inter!$A$2:$I$145,6,0)</f>
        <v>gaze</v>
      </c>
      <c r="J64" t="str">
        <f>+VLOOKUP(Sheet1!$D83,cond_inter!$A$2:$I$145,7,0)</f>
        <v>stim/eyes.png</v>
      </c>
      <c r="K64" t="str">
        <f>+VLOOKUP(Sheet1!$D83,cond_inter!$A$2:$I$145,8,0)</f>
        <v>money</v>
      </c>
      <c r="L64">
        <f>+VLOOKUP(Sheet1!$D83,cond_inter!$A$2:$I$145,9,0)</f>
        <v>39</v>
      </c>
    </row>
    <row r="65" spans="1:12" x14ac:dyDescent="0.3">
      <c r="A65">
        <f>+VLOOKUP(Sheet1!$D84,cond_inter!$A$2:$I$145,2,0)</f>
        <v>0.75</v>
      </c>
      <c r="B65">
        <f>+VLOOKUP(Sheet1!$D84,cond_inter!$A$2:$I$145,3,0)</f>
        <v>0.75</v>
      </c>
      <c r="C65">
        <f>+VLOOKUP(Sheet1!$D84,cond_inter!$A$2:$I$145,4,0)</f>
        <v>1</v>
      </c>
      <c r="D65">
        <f>+VLOOKUP(Sheet1!$D84,cond_inter!$A$2:$I$145,5,0)</f>
        <v>3</v>
      </c>
      <c r="E65">
        <f>+VLOOKUP(C65,Sheet1!$A$2:$B$4,2,0)</f>
        <v>3</v>
      </c>
      <c r="F65">
        <f>+VLOOKUP(D65,Sheet1!$A$2:$B$4,2,0)</f>
        <v>90</v>
      </c>
      <c r="G65" t="str">
        <f>+VLOOKUP(A65,Sheet1!$G$2:$H$4,2,0)</f>
        <v>Fuchsia</v>
      </c>
      <c r="H65" t="str">
        <f>+VLOOKUP(B65,Sheet1!$G$2:$H$4,2,0)</f>
        <v>Fuchsia</v>
      </c>
      <c r="I65" t="str">
        <f>+VLOOKUP(Sheet1!$D84,cond_inter!$A$2:$I$145,6,0)</f>
        <v>button</v>
      </c>
      <c r="J65" t="str">
        <f>+VLOOKUP(Sheet1!$D84,cond_inter!$A$2:$I$145,7,0)</f>
        <v>stim/button_press.png</v>
      </c>
      <c r="K65" t="str">
        <f>+VLOOKUP(Sheet1!$D84,cond_inter!$A$2:$I$145,8,0)</f>
        <v>money</v>
      </c>
      <c r="L65">
        <f>+VLOOKUP(Sheet1!$D84,cond_inter!$A$2:$I$145,9,0)</f>
        <v>99</v>
      </c>
    </row>
    <row r="66" spans="1:12" x14ac:dyDescent="0.3">
      <c r="A66">
        <f>+VLOOKUP(Sheet1!$D85,cond_inter!$A$2:$I$145,2,0)</f>
        <v>0.5</v>
      </c>
      <c r="B66">
        <f>+VLOOKUP(Sheet1!$D85,cond_inter!$A$2:$I$145,3,0)</f>
        <v>0.25</v>
      </c>
      <c r="C66">
        <f>+VLOOKUP(Sheet1!$D85,cond_inter!$A$2:$I$145,4,0)</f>
        <v>3</v>
      </c>
      <c r="D66">
        <f>+VLOOKUP(Sheet1!$D85,cond_inter!$A$2:$I$145,5,0)</f>
        <v>3</v>
      </c>
      <c r="E66">
        <f>+VLOOKUP(C66,Sheet1!$A$2:$B$4,2,0)</f>
        <v>90</v>
      </c>
      <c r="F66">
        <f>+VLOOKUP(D66,Sheet1!$A$2:$B$4,2,0)</f>
        <v>90</v>
      </c>
      <c r="G66" t="str">
        <f>+VLOOKUP(A66,Sheet1!$G$2:$H$4,2,0)</f>
        <v>DeepSkyBlue</v>
      </c>
      <c r="H66" t="str">
        <f>+VLOOKUP(B66,Sheet1!$G$2:$H$4,2,0)</f>
        <v>gold</v>
      </c>
      <c r="I66" t="str">
        <f>+VLOOKUP(Sheet1!$D85,cond_inter!$A$2:$I$145,6,0)</f>
        <v>gaze</v>
      </c>
      <c r="J66" t="str">
        <f>+VLOOKUP(Sheet1!$D85,cond_inter!$A$2:$I$145,7,0)</f>
        <v>stim/eyes.png</v>
      </c>
      <c r="K66" t="str">
        <f>+VLOOKUP(Sheet1!$D85,cond_inter!$A$2:$I$145,8,0)</f>
        <v>money</v>
      </c>
      <c r="L66">
        <f>+VLOOKUP(Sheet1!$D85,cond_inter!$A$2:$I$145,9,0)</f>
        <v>84</v>
      </c>
    </row>
    <row r="67" spans="1:12" x14ac:dyDescent="0.3">
      <c r="A67">
        <f>+VLOOKUP(Sheet1!$D86,cond_inter!$A$2:$I$145,2,0)</f>
        <v>0.25</v>
      </c>
      <c r="B67">
        <f>+VLOOKUP(Sheet1!$D86,cond_inter!$A$2:$I$145,3,0)</f>
        <v>0.75</v>
      </c>
      <c r="C67">
        <f>+VLOOKUP(Sheet1!$D86,cond_inter!$A$2:$I$145,4,0)</f>
        <v>2</v>
      </c>
      <c r="D67">
        <f>+VLOOKUP(Sheet1!$D86,cond_inter!$A$2:$I$145,5,0)</f>
        <v>1</v>
      </c>
      <c r="E67">
        <f>+VLOOKUP(C67,Sheet1!$A$2:$B$4,2,0)</f>
        <v>4</v>
      </c>
      <c r="F67">
        <f>+VLOOKUP(D67,Sheet1!$A$2:$B$4,2,0)</f>
        <v>3</v>
      </c>
      <c r="G67" t="str">
        <f>+VLOOKUP(A67,Sheet1!$G$2:$H$4,2,0)</f>
        <v>gold</v>
      </c>
      <c r="H67" t="str">
        <f>+VLOOKUP(B67,Sheet1!$G$2:$H$4,2,0)</f>
        <v>Fuchsia</v>
      </c>
      <c r="I67" t="str">
        <f>+VLOOKUP(Sheet1!$D86,cond_inter!$A$2:$I$145,6,0)</f>
        <v>gaze</v>
      </c>
      <c r="J67" t="str">
        <f>+VLOOKUP(Sheet1!$D86,cond_inter!$A$2:$I$145,7,0)</f>
        <v>stim/eyes.png</v>
      </c>
      <c r="K67" t="str">
        <f>+VLOOKUP(Sheet1!$D86,cond_inter!$A$2:$I$145,8,0)</f>
        <v>money</v>
      </c>
      <c r="L67">
        <f>+VLOOKUP(Sheet1!$D86,cond_inter!$A$2:$I$145,9,0)</f>
        <v>43</v>
      </c>
    </row>
    <row r="68" spans="1:12" x14ac:dyDescent="0.3">
      <c r="A68">
        <f>+VLOOKUP(Sheet1!$D87,cond_inter!$A$2:$I$145,2,0)</f>
        <v>0.5</v>
      </c>
      <c r="B68">
        <f>+VLOOKUP(Sheet1!$D87,cond_inter!$A$2:$I$145,3,0)</f>
        <v>0.75</v>
      </c>
      <c r="C68">
        <f>+VLOOKUP(Sheet1!$D87,cond_inter!$A$2:$I$145,4,0)</f>
        <v>2</v>
      </c>
      <c r="D68">
        <f>+VLOOKUP(Sheet1!$D87,cond_inter!$A$2:$I$145,5,0)</f>
        <v>3</v>
      </c>
      <c r="E68">
        <f>+VLOOKUP(C68,Sheet1!$A$2:$B$4,2,0)</f>
        <v>4</v>
      </c>
      <c r="F68">
        <f>+VLOOKUP(D68,Sheet1!$A$2:$B$4,2,0)</f>
        <v>90</v>
      </c>
      <c r="G68" t="str">
        <f>+VLOOKUP(A68,Sheet1!$G$2:$H$4,2,0)</f>
        <v>DeepSkyBlue</v>
      </c>
      <c r="H68" t="str">
        <f>+VLOOKUP(B68,Sheet1!$G$2:$H$4,2,0)</f>
        <v>Fuchsia</v>
      </c>
      <c r="I68" t="str">
        <f>+VLOOKUP(Sheet1!$D87,cond_inter!$A$2:$I$145,6,0)</f>
        <v>button</v>
      </c>
      <c r="J68" t="str">
        <f>+VLOOKUP(Sheet1!$D87,cond_inter!$A$2:$I$145,7,0)</f>
        <v>stim/button_press.png</v>
      </c>
      <c r="K68" t="str">
        <f>+VLOOKUP(Sheet1!$D87,cond_inter!$A$2:$I$145,8,0)</f>
        <v>money</v>
      </c>
      <c r="L68">
        <f>+VLOOKUP(Sheet1!$D87,cond_inter!$A$2:$I$145,9,0)</f>
        <v>50</v>
      </c>
    </row>
    <row r="69" spans="1:12" x14ac:dyDescent="0.3">
      <c r="A69">
        <f>+VLOOKUP(Sheet1!$D88,cond_inter!$A$2:$I$145,2,0)</f>
        <v>0.75</v>
      </c>
      <c r="B69">
        <f>+VLOOKUP(Sheet1!$D88,cond_inter!$A$2:$I$145,3,0)</f>
        <v>0.25</v>
      </c>
      <c r="C69">
        <f>+VLOOKUP(Sheet1!$D88,cond_inter!$A$2:$I$145,4,0)</f>
        <v>3</v>
      </c>
      <c r="D69">
        <f>+VLOOKUP(Sheet1!$D88,cond_inter!$A$2:$I$145,5,0)</f>
        <v>1</v>
      </c>
      <c r="E69">
        <f>+VLOOKUP(C69,Sheet1!$A$2:$B$4,2,0)</f>
        <v>90</v>
      </c>
      <c r="F69">
        <f>+VLOOKUP(D69,Sheet1!$A$2:$B$4,2,0)</f>
        <v>3</v>
      </c>
      <c r="G69" t="str">
        <f>+VLOOKUP(A69,Sheet1!$G$2:$H$4,2,0)</f>
        <v>Fuchsia</v>
      </c>
      <c r="H69" t="str">
        <f>+VLOOKUP(B69,Sheet1!$G$2:$H$4,2,0)</f>
        <v>gold</v>
      </c>
      <c r="I69" t="str">
        <f>+VLOOKUP(Sheet1!$D88,cond_inter!$A$2:$I$145,6,0)</f>
        <v>gaze</v>
      </c>
      <c r="J69" t="str">
        <f>+VLOOKUP(Sheet1!$D88,cond_inter!$A$2:$I$145,7,0)</f>
        <v>stim/eyes.png</v>
      </c>
      <c r="K69" t="str">
        <f>+VLOOKUP(Sheet1!$D88,cond_inter!$A$2:$I$145,8,0)</f>
        <v>money</v>
      </c>
      <c r="L69">
        <f>+VLOOKUP(Sheet1!$D88,cond_inter!$A$2:$I$145,9,0)</f>
        <v>121</v>
      </c>
    </row>
    <row r="70" spans="1:12" x14ac:dyDescent="0.3">
      <c r="A70">
        <f>+VLOOKUP(Sheet1!$D89,cond_inter!$A$2:$I$145,2,0)</f>
        <v>0.25</v>
      </c>
      <c r="B70">
        <f>+VLOOKUP(Sheet1!$D89,cond_inter!$A$2:$I$145,3,0)</f>
        <v>0.5</v>
      </c>
      <c r="C70">
        <f>+VLOOKUP(Sheet1!$D89,cond_inter!$A$2:$I$145,4,0)</f>
        <v>1</v>
      </c>
      <c r="D70">
        <f>+VLOOKUP(Sheet1!$D89,cond_inter!$A$2:$I$145,5,0)</f>
        <v>1</v>
      </c>
      <c r="E70">
        <f>+VLOOKUP(C70,Sheet1!$A$2:$B$4,2,0)</f>
        <v>3</v>
      </c>
      <c r="F70">
        <f>+VLOOKUP(D70,Sheet1!$A$2:$B$4,2,0)</f>
        <v>3</v>
      </c>
      <c r="G70" t="str">
        <f>+VLOOKUP(A70,Sheet1!$G$2:$H$4,2,0)</f>
        <v>gold</v>
      </c>
      <c r="H70" t="str">
        <f>+VLOOKUP(B70,Sheet1!$G$2:$H$4,2,0)</f>
        <v>DeepSkyBlue</v>
      </c>
      <c r="I70" t="str">
        <f>+VLOOKUP(Sheet1!$D89,cond_inter!$A$2:$I$145,6,0)</f>
        <v>gaze</v>
      </c>
      <c r="J70" t="str">
        <f>+VLOOKUP(Sheet1!$D89,cond_inter!$A$2:$I$145,7,0)</f>
        <v>stim/eyes.png</v>
      </c>
      <c r="K70" t="str">
        <f>+VLOOKUP(Sheet1!$D89,cond_inter!$A$2:$I$145,8,0)</f>
        <v>money</v>
      </c>
      <c r="L70">
        <f>+VLOOKUP(Sheet1!$D89,cond_inter!$A$2:$I$145,9,0)</f>
        <v>42</v>
      </c>
    </row>
    <row r="71" spans="1:12" x14ac:dyDescent="0.3">
      <c r="A71">
        <f>+VLOOKUP(Sheet1!$D90,cond_inter!$A$2:$I$145,2,0)</f>
        <v>0.25</v>
      </c>
      <c r="B71">
        <f>+VLOOKUP(Sheet1!$D90,cond_inter!$A$2:$I$145,3,0)</f>
        <v>0.5</v>
      </c>
      <c r="C71">
        <f>+VLOOKUP(Sheet1!$D90,cond_inter!$A$2:$I$145,4,0)</f>
        <v>1</v>
      </c>
      <c r="D71">
        <f>+VLOOKUP(Sheet1!$D90,cond_inter!$A$2:$I$145,5,0)</f>
        <v>3</v>
      </c>
      <c r="E71">
        <f>+VLOOKUP(C71,Sheet1!$A$2:$B$4,2,0)</f>
        <v>3</v>
      </c>
      <c r="F71">
        <f>+VLOOKUP(D71,Sheet1!$A$2:$B$4,2,0)</f>
        <v>90</v>
      </c>
      <c r="G71" t="str">
        <f>+VLOOKUP(A71,Sheet1!$G$2:$H$4,2,0)</f>
        <v>gold</v>
      </c>
      <c r="H71" t="str">
        <f>+VLOOKUP(B71,Sheet1!$G$2:$H$4,2,0)</f>
        <v>DeepSkyBlue</v>
      </c>
      <c r="I71" t="str">
        <f>+VLOOKUP(Sheet1!$D90,cond_inter!$A$2:$I$145,6,0)</f>
        <v>button</v>
      </c>
      <c r="J71" t="str">
        <f>+VLOOKUP(Sheet1!$D90,cond_inter!$A$2:$I$145,7,0)</f>
        <v>stim/button_press.png</v>
      </c>
      <c r="K71" t="str">
        <f>+VLOOKUP(Sheet1!$D90,cond_inter!$A$2:$I$145,8,0)</f>
        <v>money</v>
      </c>
      <c r="L71">
        <f>+VLOOKUP(Sheet1!$D90,cond_inter!$A$2:$I$145,9,0)</f>
        <v>20</v>
      </c>
    </row>
    <row r="72" spans="1:12" x14ac:dyDescent="0.3">
      <c r="A72">
        <f>+VLOOKUP(Sheet1!$D91,cond_inter!$A$2:$I$145,2,0)</f>
        <v>0.25</v>
      </c>
      <c r="B72">
        <f>+VLOOKUP(Sheet1!$D91,cond_inter!$A$2:$I$145,3,0)</f>
        <v>0.75</v>
      </c>
      <c r="C72">
        <f>+VLOOKUP(Sheet1!$D91,cond_inter!$A$2:$I$145,4,0)</f>
        <v>1</v>
      </c>
      <c r="D72">
        <f>+VLOOKUP(Sheet1!$D91,cond_inter!$A$2:$I$145,5,0)</f>
        <v>3</v>
      </c>
      <c r="E72">
        <f>+VLOOKUP(C72,Sheet1!$A$2:$B$4,2,0)</f>
        <v>3</v>
      </c>
      <c r="F72">
        <f>+VLOOKUP(D72,Sheet1!$A$2:$B$4,2,0)</f>
        <v>90</v>
      </c>
      <c r="G72" t="str">
        <f>+VLOOKUP(A72,Sheet1!$G$2:$H$4,2,0)</f>
        <v>gold</v>
      </c>
      <c r="H72" t="str">
        <f>+VLOOKUP(B72,Sheet1!$G$2:$H$4,2,0)</f>
        <v>Fuchsia</v>
      </c>
      <c r="I72" t="str">
        <f>+VLOOKUP(Sheet1!$D91,cond_inter!$A$2:$I$145,6,0)</f>
        <v>gaze</v>
      </c>
      <c r="J72" t="str">
        <f>+VLOOKUP(Sheet1!$D91,cond_inter!$A$2:$I$145,7,0)</f>
        <v>stim/eyes.png</v>
      </c>
      <c r="K72" t="str">
        <f>+VLOOKUP(Sheet1!$D91,cond_inter!$A$2:$I$145,8,0)</f>
        <v>money</v>
      </c>
      <c r="L72">
        <f>+VLOOKUP(Sheet1!$D91,cond_inter!$A$2:$I$145,9,0)</f>
        <v>34</v>
      </c>
    </row>
    <row r="73" spans="1:12" x14ac:dyDescent="0.3">
      <c r="A73">
        <f>+VLOOKUP(Sheet1!$D92,cond_inter!$A$2:$I$145,2,0)</f>
        <v>0.75</v>
      </c>
      <c r="B73">
        <f>+VLOOKUP(Sheet1!$D92,cond_inter!$A$2:$I$145,3,0)</f>
        <v>0.25</v>
      </c>
      <c r="C73">
        <f>+VLOOKUP(Sheet1!$D92,cond_inter!$A$2:$I$145,4,0)</f>
        <v>1</v>
      </c>
      <c r="D73">
        <f>+VLOOKUP(Sheet1!$D92,cond_inter!$A$2:$I$145,5,0)</f>
        <v>1</v>
      </c>
      <c r="E73">
        <f>+VLOOKUP(C73,Sheet1!$A$2:$B$4,2,0)</f>
        <v>3</v>
      </c>
      <c r="F73">
        <f>+VLOOKUP(D73,Sheet1!$A$2:$B$4,2,0)</f>
        <v>3</v>
      </c>
      <c r="G73" t="str">
        <f>+VLOOKUP(A73,Sheet1!$G$2:$H$4,2,0)</f>
        <v>Fuchsia</v>
      </c>
      <c r="H73" t="str">
        <f>+VLOOKUP(B73,Sheet1!$G$2:$H$4,2,0)</f>
        <v>gold</v>
      </c>
      <c r="I73" t="str">
        <f>+VLOOKUP(Sheet1!$D92,cond_inter!$A$2:$I$145,6,0)</f>
        <v>gaze</v>
      </c>
      <c r="J73" t="str">
        <f>+VLOOKUP(Sheet1!$D92,cond_inter!$A$2:$I$145,7,0)</f>
        <v>stim/eyes.png</v>
      </c>
      <c r="K73" t="str">
        <f>+VLOOKUP(Sheet1!$D92,cond_inter!$A$2:$I$145,8,0)</f>
        <v>money</v>
      </c>
      <c r="L73">
        <f>+VLOOKUP(Sheet1!$D92,cond_inter!$A$2:$I$145,9,0)</f>
        <v>134</v>
      </c>
    </row>
    <row r="74" spans="1:12" x14ac:dyDescent="0.3">
      <c r="A74">
        <f>+VLOOKUP(Sheet1!$D93,cond_inter!$A$2:$I$145,2,0)</f>
        <v>0.5</v>
      </c>
      <c r="B74">
        <f>+VLOOKUP(Sheet1!$D93,cond_inter!$A$2:$I$145,3,0)</f>
        <v>0.5</v>
      </c>
      <c r="C74">
        <f>+VLOOKUP(Sheet1!$D93,cond_inter!$A$2:$I$145,4,0)</f>
        <v>1</v>
      </c>
      <c r="D74">
        <f>+VLOOKUP(Sheet1!$D93,cond_inter!$A$2:$I$145,5,0)</f>
        <v>2</v>
      </c>
      <c r="E74">
        <f>+VLOOKUP(C74,Sheet1!$A$2:$B$4,2,0)</f>
        <v>3</v>
      </c>
      <c r="F74">
        <f>+VLOOKUP(D74,Sheet1!$A$2:$B$4,2,0)</f>
        <v>4</v>
      </c>
      <c r="G74" t="str">
        <f>+VLOOKUP(A74,Sheet1!$G$2:$H$4,2,0)</f>
        <v>DeepSkyBlue</v>
      </c>
      <c r="H74" t="str">
        <f>+VLOOKUP(B74,Sheet1!$G$2:$H$4,2,0)</f>
        <v>DeepSkyBlue</v>
      </c>
      <c r="I74" t="str">
        <f>+VLOOKUP(Sheet1!$D93,cond_inter!$A$2:$I$145,6,0)</f>
        <v>button</v>
      </c>
      <c r="J74" t="str">
        <f>+VLOOKUP(Sheet1!$D93,cond_inter!$A$2:$I$145,7,0)</f>
        <v>stim/button_press.png</v>
      </c>
      <c r="K74" t="str">
        <f>+VLOOKUP(Sheet1!$D93,cond_inter!$A$2:$I$145,8,0)</f>
        <v>money</v>
      </c>
      <c r="L74">
        <f>+VLOOKUP(Sheet1!$D93,cond_inter!$A$2:$I$145,9,0)</f>
        <v>57</v>
      </c>
    </row>
    <row r="75" spans="1:12" x14ac:dyDescent="0.3">
      <c r="A75">
        <f>+VLOOKUP(Sheet1!$D94,cond_inter!$A$2:$I$145,2,0)</f>
        <v>0.25</v>
      </c>
      <c r="B75">
        <f>+VLOOKUP(Sheet1!$D94,cond_inter!$A$2:$I$145,3,0)</f>
        <v>0.75</v>
      </c>
      <c r="C75">
        <f>+VLOOKUP(Sheet1!$D94,cond_inter!$A$2:$I$145,4,0)</f>
        <v>2</v>
      </c>
      <c r="D75">
        <f>+VLOOKUP(Sheet1!$D94,cond_inter!$A$2:$I$145,5,0)</f>
        <v>2</v>
      </c>
      <c r="E75">
        <f>+VLOOKUP(C75,Sheet1!$A$2:$B$4,2,0)</f>
        <v>4</v>
      </c>
      <c r="F75">
        <f>+VLOOKUP(D75,Sheet1!$A$2:$B$4,2,0)</f>
        <v>4</v>
      </c>
      <c r="G75" t="str">
        <f>+VLOOKUP(A75,Sheet1!$G$2:$H$4,2,0)</f>
        <v>gold</v>
      </c>
      <c r="H75" t="str">
        <f>+VLOOKUP(B75,Sheet1!$G$2:$H$4,2,0)</f>
        <v>Fuchsia</v>
      </c>
      <c r="I75" t="str">
        <f>+VLOOKUP(Sheet1!$D94,cond_inter!$A$2:$I$145,6,0)</f>
        <v>gaze</v>
      </c>
      <c r="J75" t="str">
        <f>+VLOOKUP(Sheet1!$D94,cond_inter!$A$2:$I$145,7,0)</f>
        <v>stim/eyes.png</v>
      </c>
      <c r="K75" t="str">
        <f>+VLOOKUP(Sheet1!$D94,cond_inter!$A$2:$I$145,8,0)</f>
        <v>money</v>
      </c>
      <c r="L75">
        <f>+VLOOKUP(Sheet1!$D94,cond_inter!$A$2:$I$145,9,0)</f>
        <v>38</v>
      </c>
    </row>
    <row r="76" spans="1:12" x14ac:dyDescent="0.3">
      <c r="A76">
        <f>+VLOOKUP(Sheet1!$D95,cond_inter!$A$2:$I$145,2,0)</f>
        <v>0.25</v>
      </c>
      <c r="B76">
        <f>+VLOOKUP(Sheet1!$D95,cond_inter!$A$2:$I$145,3,0)</f>
        <v>0.75</v>
      </c>
      <c r="C76">
        <f>+VLOOKUP(Sheet1!$D95,cond_inter!$A$2:$I$145,4,0)</f>
        <v>1</v>
      </c>
      <c r="D76">
        <f>+VLOOKUP(Sheet1!$D95,cond_inter!$A$2:$I$145,5,0)</f>
        <v>1</v>
      </c>
      <c r="E76">
        <f>+VLOOKUP(C76,Sheet1!$A$2:$B$4,2,0)</f>
        <v>3</v>
      </c>
      <c r="F76">
        <f>+VLOOKUP(D76,Sheet1!$A$2:$B$4,2,0)</f>
        <v>3</v>
      </c>
      <c r="G76" t="str">
        <f>+VLOOKUP(A76,Sheet1!$G$2:$H$4,2,0)</f>
        <v>gold</v>
      </c>
      <c r="H76" t="str">
        <f>+VLOOKUP(B76,Sheet1!$G$2:$H$4,2,0)</f>
        <v>Fuchsia</v>
      </c>
      <c r="I76" t="str">
        <f>+VLOOKUP(Sheet1!$D95,cond_inter!$A$2:$I$145,6,0)</f>
        <v>button</v>
      </c>
      <c r="J76" t="str">
        <f>+VLOOKUP(Sheet1!$D95,cond_inter!$A$2:$I$145,7,0)</f>
        <v>stim/button_press.png</v>
      </c>
      <c r="K76" t="str">
        <f>+VLOOKUP(Sheet1!$D95,cond_inter!$A$2:$I$145,8,0)</f>
        <v>money</v>
      </c>
      <c r="L76">
        <f>+VLOOKUP(Sheet1!$D95,cond_inter!$A$2:$I$145,9,0)</f>
        <v>3</v>
      </c>
    </row>
    <row r="77" spans="1:12" x14ac:dyDescent="0.3">
      <c r="A77">
        <f>+VLOOKUP(Sheet1!$D96,cond_inter!$A$2:$I$145,2,0)</f>
        <v>0.5</v>
      </c>
      <c r="B77">
        <f>+VLOOKUP(Sheet1!$D96,cond_inter!$A$2:$I$145,3,0)</f>
        <v>0.25</v>
      </c>
      <c r="C77">
        <f>+VLOOKUP(Sheet1!$D96,cond_inter!$A$2:$I$145,4,0)</f>
        <v>1</v>
      </c>
      <c r="D77">
        <f>+VLOOKUP(Sheet1!$D96,cond_inter!$A$2:$I$145,5,0)</f>
        <v>1</v>
      </c>
      <c r="E77">
        <f>+VLOOKUP(C77,Sheet1!$A$2:$B$4,2,0)</f>
        <v>3</v>
      </c>
      <c r="F77">
        <f>+VLOOKUP(D77,Sheet1!$A$2:$B$4,2,0)</f>
        <v>3</v>
      </c>
      <c r="G77" t="str">
        <f>+VLOOKUP(A77,Sheet1!$G$2:$H$4,2,0)</f>
        <v>DeepSkyBlue</v>
      </c>
      <c r="H77" t="str">
        <f>+VLOOKUP(B77,Sheet1!$G$2:$H$4,2,0)</f>
        <v>gold</v>
      </c>
      <c r="I77" t="str">
        <f>+VLOOKUP(Sheet1!$D96,cond_inter!$A$2:$I$145,6,0)</f>
        <v>button</v>
      </c>
      <c r="J77" t="str">
        <f>+VLOOKUP(Sheet1!$D96,cond_inter!$A$2:$I$145,7,0)</f>
        <v>stim/button_press.png</v>
      </c>
      <c r="K77" t="str">
        <f>+VLOOKUP(Sheet1!$D96,cond_inter!$A$2:$I$145,8,0)</f>
        <v>money</v>
      </c>
      <c r="L77">
        <f>+VLOOKUP(Sheet1!$D96,cond_inter!$A$2:$I$145,9,0)</f>
        <v>60</v>
      </c>
    </row>
    <row r="78" spans="1:12" x14ac:dyDescent="0.3">
      <c r="A78">
        <f>+VLOOKUP(Sheet1!$D97,cond_inter!$A$2:$I$145,2,0)</f>
        <v>0.25</v>
      </c>
      <c r="B78">
        <f>+VLOOKUP(Sheet1!$D97,cond_inter!$A$2:$I$145,3,0)</f>
        <v>0.75</v>
      </c>
      <c r="C78">
        <f>+VLOOKUP(Sheet1!$D97,cond_inter!$A$2:$I$145,4,0)</f>
        <v>2</v>
      </c>
      <c r="D78">
        <f>+VLOOKUP(Sheet1!$D97,cond_inter!$A$2:$I$145,5,0)</f>
        <v>3</v>
      </c>
      <c r="E78">
        <f>+VLOOKUP(C78,Sheet1!$A$2:$B$4,2,0)</f>
        <v>4</v>
      </c>
      <c r="F78">
        <f>+VLOOKUP(D78,Sheet1!$A$2:$B$4,2,0)</f>
        <v>90</v>
      </c>
      <c r="G78" t="str">
        <f>+VLOOKUP(A78,Sheet1!$G$2:$H$4,2,0)</f>
        <v>gold</v>
      </c>
      <c r="H78" t="str">
        <f>+VLOOKUP(B78,Sheet1!$G$2:$H$4,2,0)</f>
        <v>Fuchsia</v>
      </c>
      <c r="I78" t="str">
        <f>+VLOOKUP(Sheet1!$D97,cond_inter!$A$2:$I$145,6,0)</f>
        <v>gaze</v>
      </c>
      <c r="J78" t="str">
        <f>+VLOOKUP(Sheet1!$D97,cond_inter!$A$2:$I$145,7,0)</f>
        <v>stim/eyes.png</v>
      </c>
      <c r="K78" t="str">
        <f>+VLOOKUP(Sheet1!$D97,cond_inter!$A$2:$I$145,8,0)</f>
        <v>money</v>
      </c>
      <c r="L78">
        <f>+VLOOKUP(Sheet1!$D97,cond_inter!$A$2:$I$145,9,0)</f>
        <v>36</v>
      </c>
    </row>
    <row r="79" spans="1:12" x14ac:dyDescent="0.3">
      <c r="A79">
        <f>+VLOOKUP(Sheet1!$D98,cond_inter!$A$2:$I$145,2,0)</f>
        <v>0.25</v>
      </c>
      <c r="B79">
        <f>+VLOOKUP(Sheet1!$D98,cond_inter!$A$2:$I$145,3,0)</f>
        <v>0.5</v>
      </c>
      <c r="C79">
        <f>+VLOOKUP(Sheet1!$D98,cond_inter!$A$2:$I$145,4,0)</f>
        <v>2</v>
      </c>
      <c r="D79">
        <f>+VLOOKUP(Sheet1!$D98,cond_inter!$A$2:$I$145,5,0)</f>
        <v>3</v>
      </c>
      <c r="E79">
        <f>+VLOOKUP(C79,Sheet1!$A$2:$B$4,2,0)</f>
        <v>4</v>
      </c>
      <c r="F79">
        <f>+VLOOKUP(D79,Sheet1!$A$2:$B$4,2,0)</f>
        <v>90</v>
      </c>
      <c r="G79" t="str">
        <f>+VLOOKUP(A79,Sheet1!$G$2:$H$4,2,0)</f>
        <v>gold</v>
      </c>
      <c r="H79" t="str">
        <f>+VLOOKUP(B79,Sheet1!$G$2:$H$4,2,0)</f>
        <v>DeepSkyBlue</v>
      </c>
      <c r="I79" t="str">
        <f>+VLOOKUP(Sheet1!$D98,cond_inter!$A$2:$I$145,6,0)</f>
        <v>gaze</v>
      </c>
      <c r="J79" t="str">
        <f>+VLOOKUP(Sheet1!$D98,cond_inter!$A$2:$I$145,7,0)</f>
        <v>stim/eyes.png</v>
      </c>
      <c r="K79" t="str">
        <f>+VLOOKUP(Sheet1!$D98,cond_inter!$A$2:$I$145,8,0)</f>
        <v>money</v>
      </c>
      <c r="L79">
        <f>+VLOOKUP(Sheet1!$D98,cond_inter!$A$2:$I$145,9,0)</f>
        <v>37</v>
      </c>
    </row>
    <row r="80" spans="1:12" x14ac:dyDescent="0.3">
      <c r="A80">
        <f>+VLOOKUP(Sheet1!$D99,cond_inter!$A$2:$I$145,2,0)</f>
        <v>0.75</v>
      </c>
      <c r="B80">
        <f>+VLOOKUP(Sheet1!$D99,cond_inter!$A$2:$I$145,3,0)</f>
        <v>0.75</v>
      </c>
      <c r="C80">
        <f>+VLOOKUP(Sheet1!$D99,cond_inter!$A$2:$I$145,4,0)</f>
        <v>1</v>
      </c>
      <c r="D80">
        <f>+VLOOKUP(Sheet1!$D99,cond_inter!$A$2:$I$145,5,0)</f>
        <v>2</v>
      </c>
      <c r="E80">
        <f>+VLOOKUP(C80,Sheet1!$A$2:$B$4,2,0)</f>
        <v>3</v>
      </c>
      <c r="F80">
        <f>+VLOOKUP(D80,Sheet1!$A$2:$B$4,2,0)</f>
        <v>4</v>
      </c>
      <c r="G80" t="str">
        <f>+VLOOKUP(A80,Sheet1!$G$2:$H$4,2,0)</f>
        <v>Fuchsia</v>
      </c>
      <c r="H80" t="str">
        <f>+VLOOKUP(B80,Sheet1!$G$2:$H$4,2,0)</f>
        <v>Fuchsia</v>
      </c>
      <c r="I80" t="str">
        <f>+VLOOKUP(Sheet1!$D99,cond_inter!$A$2:$I$145,6,0)</f>
        <v>gaze</v>
      </c>
      <c r="J80" t="str">
        <f>+VLOOKUP(Sheet1!$D99,cond_inter!$A$2:$I$145,7,0)</f>
        <v>stim/eyes.png</v>
      </c>
      <c r="K80" t="str">
        <f>+VLOOKUP(Sheet1!$D99,cond_inter!$A$2:$I$145,8,0)</f>
        <v>money</v>
      </c>
      <c r="L80">
        <f>+VLOOKUP(Sheet1!$D99,cond_inter!$A$2:$I$145,9,0)</f>
        <v>136</v>
      </c>
    </row>
    <row r="81" spans="1:12" x14ac:dyDescent="0.3">
      <c r="A81">
        <f>+VLOOKUP(Sheet1!$D100,cond_inter!$A$2:$I$145,2,0)</f>
        <v>0.75</v>
      </c>
      <c r="B81">
        <f>+VLOOKUP(Sheet1!$D100,cond_inter!$A$2:$I$145,3,0)</f>
        <v>0.25</v>
      </c>
      <c r="C81">
        <f>+VLOOKUP(Sheet1!$D100,cond_inter!$A$2:$I$145,4,0)</f>
        <v>1</v>
      </c>
      <c r="D81">
        <f>+VLOOKUP(Sheet1!$D100,cond_inter!$A$2:$I$145,5,0)</f>
        <v>2</v>
      </c>
      <c r="E81">
        <f>+VLOOKUP(C81,Sheet1!$A$2:$B$4,2,0)</f>
        <v>3</v>
      </c>
      <c r="F81">
        <f>+VLOOKUP(D81,Sheet1!$A$2:$B$4,2,0)</f>
        <v>4</v>
      </c>
      <c r="G81" t="str">
        <f>+VLOOKUP(A81,Sheet1!$G$2:$H$4,2,0)</f>
        <v>Fuchsia</v>
      </c>
      <c r="H81" t="str">
        <f>+VLOOKUP(B81,Sheet1!$G$2:$H$4,2,0)</f>
        <v>gold</v>
      </c>
      <c r="I81" t="str">
        <f>+VLOOKUP(Sheet1!$D100,cond_inter!$A$2:$I$145,6,0)</f>
        <v>gaze</v>
      </c>
      <c r="J81" t="str">
        <f>+VLOOKUP(Sheet1!$D100,cond_inter!$A$2:$I$145,7,0)</f>
        <v>stim/eyes.png</v>
      </c>
      <c r="K81" t="str">
        <f>+VLOOKUP(Sheet1!$D100,cond_inter!$A$2:$I$145,8,0)</f>
        <v>money</v>
      </c>
      <c r="L81">
        <f>+VLOOKUP(Sheet1!$D100,cond_inter!$A$2:$I$145,9,0)</f>
        <v>122</v>
      </c>
    </row>
    <row r="82" spans="1:12" x14ac:dyDescent="0.3">
      <c r="A82">
        <f>+VLOOKUP(Sheet1!$D101,cond_inter!$A$2:$I$145,2,0)</f>
        <v>0.75</v>
      </c>
      <c r="B82">
        <f>+VLOOKUP(Sheet1!$D101,cond_inter!$A$2:$I$145,3,0)</f>
        <v>0.75</v>
      </c>
      <c r="C82">
        <f>+VLOOKUP(Sheet1!$D101,cond_inter!$A$2:$I$145,4,0)</f>
        <v>2</v>
      </c>
      <c r="D82">
        <f>+VLOOKUP(Sheet1!$D101,cond_inter!$A$2:$I$145,5,0)</f>
        <v>1</v>
      </c>
      <c r="E82">
        <f>+VLOOKUP(C82,Sheet1!$A$2:$B$4,2,0)</f>
        <v>4</v>
      </c>
      <c r="F82">
        <f>+VLOOKUP(D82,Sheet1!$A$2:$B$4,2,0)</f>
        <v>3</v>
      </c>
      <c r="G82" t="str">
        <f>+VLOOKUP(A82,Sheet1!$G$2:$H$4,2,0)</f>
        <v>Fuchsia</v>
      </c>
      <c r="H82" t="str">
        <f>+VLOOKUP(B82,Sheet1!$G$2:$H$4,2,0)</f>
        <v>Fuchsia</v>
      </c>
      <c r="I82" t="str">
        <f>+VLOOKUP(Sheet1!$D101,cond_inter!$A$2:$I$145,6,0)</f>
        <v>button</v>
      </c>
      <c r="J82" t="str">
        <f>+VLOOKUP(Sheet1!$D101,cond_inter!$A$2:$I$145,7,0)</f>
        <v>stim/button_press.png</v>
      </c>
      <c r="K82" t="str">
        <f>+VLOOKUP(Sheet1!$D101,cond_inter!$A$2:$I$145,8,0)</f>
        <v>money</v>
      </c>
      <c r="L82">
        <f>+VLOOKUP(Sheet1!$D101,cond_inter!$A$2:$I$145,9,0)</f>
        <v>104</v>
      </c>
    </row>
    <row r="83" spans="1:12" x14ac:dyDescent="0.3">
      <c r="A83">
        <f>+VLOOKUP(Sheet1!$D102,cond_inter!$A$2:$I$145,2,0)</f>
        <v>0.5</v>
      </c>
      <c r="B83">
        <f>+VLOOKUP(Sheet1!$D102,cond_inter!$A$2:$I$145,3,0)</f>
        <v>0.75</v>
      </c>
      <c r="C83">
        <f>+VLOOKUP(Sheet1!$D102,cond_inter!$A$2:$I$145,4,0)</f>
        <v>2</v>
      </c>
      <c r="D83">
        <f>+VLOOKUP(Sheet1!$D102,cond_inter!$A$2:$I$145,5,0)</f>
        <v>3</v>
      </c>
      <c r="E83">
        <f>+VLOOKUP(C83,Sheet1!$A$2:$B$4,2,0)</f>
        <v>4</v>
      </c>
      <c r="F83">
        <f>+VLOOKUP(D83,Sheet1!$A$2:$B$4,2,0)</f>
        <v>90</v>
      </c>
      <c r="G83" t="str">
        <f>+VLOOKUP(A83,Sheet1!$G$2:$H$4,2,0)</f>
        <v>DeepSkyBlue</v>
      </c>
      <c r="H83" t="str">
        <f>+VLOOKUP(B83,Sheet1!$G$2:$H$4,2,0)</f>
        <v>Fuchsia</v>
      </c>
      <c r="I83" t="str">
        <f>+VLOOKUP(Sheet1!$D102,cond_inter!$A$2:$I$145,6,0)</f>
        <v>gaze</v>
      </c>
      <c r="J83" t="str">
        <f>+VLOOKUP(Sheet1!$D102,cond_inter!$A$2:$I$145,7,0)</f>
        <v>stim/eyes.png</v>
      </c>
      <c r="K83" t="str">
        <f>+VLOOKUP(Sheet1!$D102,cond_inter!$A$2:$I$145,8,0)</f>
        <v>money</v>
      </c>
      <c r="L83">
        <f>+VLOOKUP(Sheet1!$D102,cond_inter!$A$2:$I$145,9,0)</f>
        <v>73</v>
      </c>
    </row>
    <row r="84" spans="1:12" x14ac:dyDescent="0.3">
      <c r="A84">
        <f>+VLOOKUP(Sheet1!$D103,cond_inter!$A$2:$I$145,2,0)</f>
        <v>0.75</v>
      </c>
      <c r="B84">
        <f>+VLOOKUP(Sheet1!$D103,cond_inter!$A$2:$I$145,3,0)</f>
        <v>0.5</v>
      </c>
      <c r="C84">
        <f>+VLOOKUP(Sheet1!$D103,cond_inter!$A$2:$I$145,4,0)</f>
        <v>1</v>
      </c>
      <c r="D84">
        <f>+VLOOKUP(Sheet1!$D103,cond_inter!$A$2:$I$145,5,0)</f>
        <v>1</v>
      </c>
      <c r="E84">
        <f>+VLOOKUP(C84,Sheet1!$A$2:$B$4,2,0)</f>
        <v>3</v>
      </c>
      <c r="F84">
        <f>+VLOOKUP(D84,Sheet1!$A$2:$B$4,2,0)</f>
        <v>3</v>
      </c>
      <c r="G84" t="str">
        <f>+VLOOKUP(A84,Sheet1!$G$2:$H$4,2,0)</f>
        <v>Fuchsia</v>
      </c>
      <c r="H84" t="str">
        <f>+VLOOKUP(B84,Sheet1!$G$2:$H$4,2,0)</f>
        <v>DeepSkyBlue</v>
      </c>
      <c r="I84" t="str">
        <f>+VLOOKUP(Sheet1!$D103,cond_inter!$A$2:$I$145,6,0)</f>
        <v>gaze</v>
      </c>
      <c r="J84" t="str">
        <f>+VLOOKUP(Sheet1!$D103,cond_inter!$A$2:$I$145,7,0)</f>
        <v>stim/eyes.png</v>
      </c>
      <c r="K84" t="str">
        <f>+VLOOKUP(Sheet1!$D103,cond_inter!$A$2:$I$145,8,0)</f>
        <v>money</v>
      </c>
      <c r="L84">
        <f>+VLOOKUP(Sheet1!$D103,cond_inter!$A$2:$I$145,9,0)</f>
        <v>135</v>
      </c>
    </row>
    <row r="85" spans="1:12" x14ac:dyDescent="0.3">
      <c r="A85">
        <f>+VLOOKUP(Sheet1!$D104,cond_inter!$A$2:$I$145,2,0)</f>
        <v>0.25</v>
      </c>
      <c r="B85">
        <f>+VLOOKUP(Sheet1!$D104,cond_inter!$A$2:$I$145,3,0)</f>
        <v>0.75</v>
      </c>
      <c r="C85">
        <f>+VLOOKUP(Sheet1!$D104,cond_inter!$A$2:$I$145,4,0)</f>
        <v>3</v>
      </c>
      <c r="D85">
        <f>+VLOOKUP(Sheet1!$D104,cond_inter!$A$2:$I$145,5,0)</f>
        <v>3</v>
      </c>
      <c r="E85">
        <f>+VLOOKUP(C85,Sheet1!$A$2:$B$4,2,0)</f>
        <v>90</v>
      </c>
      <c r="F85">
        <f>+VLOOKUP(D85,Sheet1!$A$2:$B$4,2,0)</f>
        <v>90</v>
      </c>
      <c r="G85" t="str">
        <f>+VLOOKUP(A85,Sheet1!$G$2:$H$4,2,0)</f>
        <v>gold</v>
      </c>
      <c r="H85" t="str">
        <f>+VLOOKUP(B85,Sheet1!$G$2:$H$4,2,0)</f>
        <v>Fuchsia</v>
      </c>
      <c r="I85" t="str">
        <f>+VLOOKUP(Sheet1!$D104,cond_inter!$A$2:$I$145,6,0)</f>
        <v>gaze</v>
      </c>
      <c r="J85" t="str">
        <f>+VLOOKUP(Sheet1!$D104,cond_inter!$A$2:$I$145,7,0)</f>
        <v>stim/eyes.png</v>
      </c>
      <c r="K85" t="str">
        <f>+VLOOKUP(Sheet1!$D104,cond_inter!$A$2:$I$145,8,0)</f>
        <v>money</v>
      </c>
      <c r="L85">
        <f>+VLOOKUP(Sheet1!$D104,cond_inter!$A$2:$I$145,9,0)</f>
        <v>41</v>
      </c>
    </row>
    <row r="86" spans="1:12" x14ac:dyDescent="0.3">
      <c r="A86">
        <f>+VLOOKUP(Sheet1!$D105,cond_inter!$A$2:$I$145,2,0)</f>
        <v>0.75</v>
      </c>
      <c r="B86">
        <f>+VLOOKUP(Sheet1!$D105,cond_inter!$A$2:$I$145,3,0)</f>
        <v>0.5</v>
      </c>
      <c r="C86">
        <f>+VLOOKUP(Sheet1!$D105,cond_inter!$A$2:$I$145,4,0)</f>
        <v>2</v>
      </c>
      <c r="D86">
        <f>+VLOOKUP(Sheet1!$D105,cond_inter!$A$2:$I$145,5,0)</f>
        <v>1</v>
      </c>
      <c r="E86">
        <f>+VLOOKUP(C86,Sheet1!$A$2:$B$4,2,0)</f>
        <v>4</v>
      </c>
      <c r="F86">
        <f>+VLOOKUP(D86,Sheet1!$A$2:$B$4,2,0)</f>
        <v>3</v>
      </c>
      <c r="G86" t="str">
        <f>+VLOOKUP(A86,Sheet1!$G$2:$H$4,2,0)</f>
        <v>Fuchsia</v>
      </c>
      <c r="H86" t="str">
        <f>+VLOOKUP(B86,Sheet1!$G$2:$H$4,2,0)</f>
        <v>DeepSkyBlue</v>
      </c>
      <c r="I86" t="str">
        <f>+VLOOKUP(Sheet1!$D105,cond_inter!$A$2:$I$145,6,0)</f>
        <v>gaze</v>
      </c>
      <c r="J86" t="str">
        <f>+VLOOKUP(Sheet1!$D105,cond_inter!$A$2:$I$145,7,0)</f>
        <v>stim/eyes.png</v>
      </c>
      <c r="K86" t="str">
        <f>+VLOOKUP(Sheet1!$D105,cond_inter!$A$2:$I$145,8,0)</f>
        <v>money</v>
      </c>
      <c r="L86">
        <f>+VLOOKUP(Sheet1!$D105,cond_inter!$A$2:$I$145,9,0)</f>
        <v>133</v>
      </c>
    </row>
    <row r="87" spans="1:12" x14ac:dyDescent="0.3">
      <c r="A87">
        <f>+VLOOKUP(Sheet1!$D106,cond_inter!$A$2:$I$145,2,0)</f>
        <v>0.5</v>
      </c>
      <c r="B87">
        <f>+VLOOKUP(Sheet1!$D106,cond_inter!$A$2:$I$145,3,0)</f>
        <v>0.75</v>
      </c>
      <c r="C87">
        <f>+VLOOKUP(Sheet1!$D106,cond_inter!$A$2:$I$145,4,0)</f>
        <v>1</v>
      </c>
      <c r="D87">
        <f>+VLOOKUP(Sheet1!$D106,cond_inter!$A$2:$I$145,5,0)</f>
        <v>2</v>
      </c>
      <c r="E87">
        <f>+VLOOKUP(C87,Sheet1!$A$2:$B$4,2,0)</f>
        <v>3</v>
      </c>
      <c r="F87">
        <f>+VLOOKUP(D87,Sheet1!$A$2:$B$4,2,0)</f>
        <v>4</v>
      </c>
      <c r="G87" t="str">
        <f>+VLOOKUP(A87,Sheet1!$G$2:$H$4,2,0)</f>
        <v>DeepSkyBlue</v>
      </c>
      <c r="H87" t="str">
        <f>+VLOOKUP(B87,Sheet1!$G$2:$H$4,2,0)</f>
        <v>Fuchsia</v>
      </c>
      <c r="I87" t="str">
        <f>+VLOOKUP(Sheet1!$D106,cond_inter!$A$2:$I$145,6,0)</f>
        <v>button</v>
      </c>
      <c r="J87" t="str">
        <f>+VLOOKUP(Sheet1!$D106,cond_inter!$A$2:$I$145,7,0)</f>
        <v>stim/button_press.png</v>
      </c>
      <c r="K87" t="str">
        <f>+VLOOKUP(Sheet1!$D106,cond_inter!$A$2:$I$145,8,0)</f>
        <v>money</v>
      </c>
      <c r="L87">
        <f>+VLOOKUP(Sheet1!$D106,cond_inter!$A$2:$I$145,9,0)</f>
        <v>71</v>
      </c>
    </row>
    <row r="88" spans="1:12" x14ac:dyDescent="0.3">
      <c r="A88">
        <f>+VLOOKUP(Sheet1!$D107,cond_inter!$A$2:$I$145,2,0)</f>
        <v>0.25</v>
      </c>
      <c r="B88">
        <f>+VLOOKUP(Sheet1!$D107,cond_inter!$A$2:$I$145,3,0)</f>
        <v>0.75</v>
      </c>
      <c r="C88">
        <f>+VLOOKUP(Sheet1!$D107,cond_inter!$A$2:$I$145,4,0)</f>
        <v>1</v>
      </c>
      <c r="D88">
        <f>+VLOOKUP(Sheet1!$D107,cond_inter!$A$2:$I$145,5,0)</f>
        <v>3</v>
      </c>
      <c r="E88">
        <f>+VLOOKUP(C88,Sheet1!$A$2:$B$4,2,0)</f>
        <v>3</v>
      </c>
      <c r="F88">
        <f>+VLOOKUP(D88,Sheet1!$A$2:$B$4,2,0)</f>
        <v>90</v>
      </c>
      <c r="G88" t="str">
        <f>+VLOOKUP(A88,Sheet1!$G$2:$H$4,2,0)</f>
        <v>gold</v>
      </c>
      <c r="H88" t="str">
        <f>+VLOOKUP(B88,Sheet1!$G$2:$H$4,2,0)</f>
        <v>Fuchsia</v>
      </c>
      <c r="I88" t="str">
        <f>+VLOOKUP(Sheet1!$D107,cond_inter!$A$2:$I$145,6,0)</f>
        <v>button</v>
      </c>
      <c r="J88" t="str">
        <f>+VLOOKUP(Sheet1!$D107,cond_inter!$A$2:$I$145,7,0)</f>
        <v>stim/button_press.png</v>
      </c>
      <c r="K88" t="str">
        <f>+VLOOKUP(Sheet1!$D107,cond_inter!$A$2:$I$145,8,0)</f>
        <v>money</v>
      </c>
      <c r="L88">
        <f>+VLOOKUP(Sheet1!$D107,cond_inter!$A$2:$I$145,9,0)</f>
        <v>2</v>
      </c>
    </row>
    <row r="89" spans="1:12" x14ac:dyDescent="0.3">
      <c r="A89">
        <f>+VLOOKUP(Sheet1!$D108,cond_inter!$A$2:$I$145,2,0)</f>
        <v>0.75</v>
      </c>
      <c r="B89">
        <f>+VLOOKUP(Sheet1!$D108,cond_inter!$A$2:$I$145,3,0)</f>
        <v>0.5</v>
      </c>
      <c r="C89">
        <f>+VLOOKUP(Sheet1!$D108,cond_inter!$A$2:$I$145,4,0)</f>
        <v>1</v>
      </c>
      <c r="D89">
        <f>+VLOOKUP(Sheet1!$D108,cond_inter!$A$2:$I$145,5,0)</f>
        <v>2</v>
      </c>
      <c r="E89">
        <f>+VLOOKUP(C89,Sheet1!$A$2:$B$4,2,0)</f>
        <v>3</v>
      </c>
      <c r="F89">
        <f>+VLOOKUP(D89,Sheet1!$A$2:$B$4,2,0)</f>
        <v>4</v>
      </c>
      <c r="G89" t="str">
        <f>+VLOOKUP(A89,Sheet1!$G$2:$H$4,2,0)</f>
        <v>Fuchsia</v>
      </c>
      <c r="H89" t="str">
        <f>+VLOOKUP(B89,Sheet1!$G$2:$H$4,2,0)</f>
        <v>DeepSkyBlue</v>
      </c>
      <c r="I89" t="str">
        <f>+VLOOKUP(Sheet1!$D108,cond_inter!$A$2:$I$145,6,0)</f>
        <v>button</v>
      </c>
      <c r="J89" t="str">
        <f>+VLOOKUP(Sheet1!$D108,cond_inter!$A$2:$I$145,7,0)</f>
        <v>stim/button_press.png</v>
      </c>
      <c r="K89" t="str">
        <f>+VLOOKUP(Sheet1!$D108,cond_inter!$A$2:$I$145,8,0)</f>
        <v>money</v>
      </c>
      <c r="L89">
        <f>+VLOOKUP(Sheet1!$D108,cond_inter!$A$2:$I$145,9,0)</f>
        <v>112</v>
      </c>
    </row>
    <row r="90" spans="1:12" x14ac:dyDescent="0.3">
      <c r="A90">
        <f>+VLOOKUP(Sheet1!$D109,cond_inter!$A$2:$I$145,2,0)</f>
        <v>0.25</v>
      </c>
      <c r="B90">
        <f>+VLOOKUP(Sheet1!$D109,cond_inter!$A$2:$I$145,3,0)</f>
        <v>0.5</v>
      </c>
      <c r="C90">
        <f>+VLOOKUP(Sheet1!$D109,cond_inter!$A$2:$I$145,4,0)</f>
        <v>2</v>
      </c>
      <c r="D90">
        <f>+VLOOKUP(Sheet1!$D109,cond_inter!$A$2:$I$145,5,0)</f>
        <v>2</v>
      </c>
      <c r="E90">
        <f>+VLOOKUP(C90,Sheet1!$A$2:$B$4,2,0)</f>
        <v>4</v>
      </c>
      <c r="F90">
        <f>+VLOOKUP(D90,Sheet1!$A$2:$B$4,2,0)</f>
        <v>4</v>
      </c>
      <c r="G90" t="str">
        <f>+VLOOKUP(A90,Sheet1!$G$2:$H$4,2,0)</f>
        <v>gold</v>
      </c>
      <c r="H90" t="str">
        <f>+VLOOKUP(B90,Sheet1!$G$2:$H$4,2,0)</f>
        <v>DeepSkyBlue</v>
      </c>
      <c r="I90" t="str">
        <f>+VLOOKUP(Sheet1!$D109,cond_inter!$A$2:$I$145,6,0)</f>
        <v>button</v>
      </c>
      <c r="J90" t="str">
        <f>+VLOOKUP(Sheet1!$D109,cond_inter!$A$2:$I$145,7,0)</f>
        <v>stim/button_press.png</v>
      </c>
      <c r="K90" t="str">
        <f>+VLOOKUP(Sheet1!$D109,cond_inter!$A$2:$I$145,8,0)</f>
        <v>money</v>
      </c>
      <c r="L90">
        <f>+VLOOKUP(Sheet1!$D109,cond_inter!$A$2:$I$145,9,0)</f>
        <v>10</v>
      </c>
    </row>
    <row r="91" spans="1:12" x14ac:dyDescent="0.3">
      <c r="A91">
        <f>+VLOOKUP(Sheet1!$D110,cond_inter!$A$2:$I$145,2,0)</f>
        <v>0.75</v>
      </c>
      <c r="B91">
        <f>+VLOOKUP(Sheet1!$D110,cond_inter!$A$2:$I$145,3,0)</f>
        <v>0.75</v>
      </c>
      <c r="C91">
        <f>+VLOOKUP(Sheet1!$D110,cond_inter!$A$2:$I$145,4,0)</f>
        <v>3</v>
      </c>
      <c r="D91">
        <f>+VLOOKUP(Sheet1!$D110,cond_inter!$A$2:$I$145,5,0)</f>
        <v>1</v>
      </c>
      <c r="E91">
        <f>+VLOOKUP(C91,Sheet1!$A$2:$B$4,2,0)</f>
        <v>90</v>
      </c>
      <c r="F91">
        <f>+VLOOKUP(D91,Sheet1!$A$2:$B$4,2,0)</f>
        <v>3</v>
      </c>
      <c r="G91" t="str">
        <f>+VLOOKUP(A91,Sheet1!$G$2:$H$4,2,0)</f>
        <v>Fuchsia</v>
      </c>
      <c r="H91" t="str">
        <f>+VLOOKUP(B91,Sheet1!$G$2:$H$4,2,0)</f>
        <v>Fuchsia</v>
      </c>
      <c r="I91" t="str">
        <f>+VLOOKUP(Sheet1!$D110,cond_inter!$A$2:$I$145,6,0)</f>
        <v>gaze</v>
      </c>
      <c r="J91" t="str">
        <f>+VLOOKUP(Sheet1!$D110,cond_inter!$A$2:$I$145,7,0)</f>
        <v>stim/eyes.png</v>
      </c>
      <c r="K91" t="str">
        <f>+VLOOKUP(Sheet1!$D110,cond_inter!$A$2:$I$145,8,0)</f>
        <v>money</v>
      </c>
      <c r="L91">
        <f>+VLOOKUP(Sheet1!$D110,cond_inter!$A$2:$I$145,9,0)</f>
        <v>120</v>
      </c>
    </row>
    <row r="92" spans="1:12" x14ac:dyDescent="0.3">
      <c r="A92">
        <f>+VLOOKUP(Sheet1!$D111,cond_inter!$A$2:$I$145,2,0)</f>
        <v>0.75</v>
      </c>
      <c r="B92">
        <f>+VLOOKUP(Sheet1!$D111,cond_inter!$A$2:$I$145,3,0)</f>
        <v>0.5</v>
      </c>
      <c r="C92">
        <f>+VLOOKUP(Sheet1!$D111,cond_inter!$A$2:$I$145,4,0)</f>
        <v>3</v>
      </c>
      <c r="D92">
        <f>+VLOOKUP(Sheet1!$D111,cond_inter!$A$2:$I$145,5,0)</f>
        <v>2</v>
      </c>
      <c r="E92">
        <f>+VLOOKUP(C92,Sheet1!$A$2:$B$4,2,0)</f>
        <v>90</v>
      </c>
      <c r="F92">
        <f>+VLOOKUP(D92,Sheet1!$A$2:$B$4,2,0)</f>
        <v>4</v>
      </c>
      <c r="G92" t="str">
        <f>+VLOOKUP(A92,Sheet1!$G$2:$H$4,2,0)</f>
        <v>Fuchsia</v>
      </c>
      <c r="H92" t="str">
        <f>+VLOOKUP(B92,Sheet1!$G$2:$H$4,2,0)</f>
        <v>DeepSkyBlue</v>
      </c>
      <c r="I92" t="str">
        <f>+VLOOKUP(Sheet1!$D111,cond_inter!$A$2:$I$145,6,0)</f>
        <v>button</v>
      </c>
      <c r="J92" t="str">
        <f>+VLOOKUP(Sheet1!$D111,cond_inter!$A$2:$I$145,7,0)</f>
        <v>stim/button_press.png</v>
      </c>
      <c r="K92" t="str">
        <f>+VLOOKUP(Sheet1!$D111,cond_inter!$A$2:$I$145,8,0)</f>
        <v>money</v>
      </c>
      <c r="L92">
        <f>+VLOOKUP(Sheet1!$D111,cond_inter!$A$2:$I$145,9,0)</f>
        <v>109</v>
      </c>
    </row>
    <row r="93" spans="1:12" x14ac:dyDescent="0.3">
      <c r="A93">
        <f>+VLOOKUP(Sheet1!$D112,cond_inter!$A$2:$I$145,2,0)</f>
        <v>0.5</v>
      </c>
      <c r="B93">
        <f>+VLOOKUP(Sheet1!$D112,cond_inter!$A$2:$I$145,3,0)</f>
        <v>0.75</v>
      </c>
      <c r="C93">
        <f>+VLOOKUP(Sheet1!$D112,cond_inter!$A$2:$I$145,4,0)</f>
        <v>1</v>
      </c>
      <c r="D93">
        <f>+VLOOKUP(Sheet1!$D112,cond_inter!$A$2:$I$145,5,0)</f>
        <v>3</v>
      </c>
      <c r="E93">
        <f>+VLOOKUP(C93,Sheet1!$A$2:$B$4,2,0)</f>
        <v>3</v>
      </c>
      <c r="F93">
        <f>+VLOOKUP(D93,Sheet1!$A$2:$B$4,2,0)</f>
        <v>90</v>
      </c>
      <c r="G93" t="str">
        <f>+VLOOKUP(A93,Sheet1!$G$2:$H$4,2,0)</f>
        <v>DeepSkyBlue</v>
      </c>
      <c r="H93" t="str">
        <f>+VLOOKUP(B93,Sheet1!$G$2:$H$4,2,0)</f>
        <v>Fuchsia</v>
      </c>
      <c r="I93" t="str">
        <f>+VLOOKUP(Sheet1!$D112,cond_inter!$A$2:$I$145,6,0)</f>
        <v>gaze</v>
      </c>
      <c r="J93" t="str">
        <f>+VLOOKUP(Sheet1!$D112,cond_inter!$A$2:$I$145,7,0)</f>
        <v>stim/eyes.png</v>
      </c>
      <c r="K93" t="str">
        <f>+VLOOKUP(Sheet1!$D112,cond_inter!$A$2:$I$145,8,0)</f>
        <v>money</v>
      </c>
      <c r="L93">
        <f>+VLOOKUP(Sheet1!$D112,cond_inter!$A$2:$I$145,9,0)</f>
        <v>94</v>
      </c>
    </row>
    <row r="94" spans="1:12" x14ac:dyDescent="0.3">
      <c r="A94">
        <f>+VLOOKUP(Sheet1!$D113,cond_inter!$A$2:$I$145,2,0)</f>
        <v>0.5</v>
      </c>
      <c r="B94">
        <f>+VLOOKUP(Sheet1!$D113,cond_inter!$A$2:$I$145,3,0)</f>
        <v>0.25</v>
      </c>
      <c r="C94">
        <f>+VLOOKUP(Sheet1!$D113,cond_inter!$A$2:$I$145,4,0)</f>
        <v>2</v>
      </c>
      <c r="D94">
        <f>+VLOOKUP(Sheet1!$D113,cond_inter!$A$2:$I$145,5,0)</f>
        <v>3</v>
      </c>
      <c r="E94">
        <f>+VLOOKUP(C94,Sheet1!$A$2:$B$4,2,0)</f>
        <v>4</v>
      </c>
      <c r="F94">
        <f>+VLOOKUP(D94,Sheet1!$A$2:$B$4,2,0)</f>
        <v>90</v>
      </c>
      <c r="G94" t="str">
        <f>+VLOOKUP(A94,Sheet1!$G$2:$H$4,2,0)</f>
        <v>DeepSkyBlue</v>
      </c>
      <c r="H94" t="str">
        <f>+VLOOKUP(B94,Sheet1!$G$2:$H$4,2,0)</f>
        <v>gold</v>
      </c>
      <c r="I94" t="str">
        <f>+VLOOKUP(Sheet1!$D113,cond_inter!$A$2:$I$145,6,0)</f>
        <v>gaze</v>
      </c>
      <c r="J94" t="str">
        <f>+VLOOKUP(Sheet1!$D113,cond_inter!$A$2:$I$145,7,0)</f>
        <v>stim/eyes.png</v>
      </c>
      <c r="K94" t="str">
        <f>+VLOOKUP(Sheet1!$D113,cond_inter!$A$2:$I$145,8,0)</f>
        <v>money</v>
      </c>
      <c r="L94">
        <f>+VLOOKUP(Sheet1!$D113,cond_inter!$A$2:$I$145,9,0)</f>
        <v>91</v>
      </c>
    </row>
    <row r="95" spans="1:12" x14ac:dyDescent="0.3">
      <c r="A95">
        <f>+VLOOKUP(Sheet1!$D114,cond_inter!$A$2:$I$145,2,0)</f>
        <v>0.75</v>
      </c>
      <c r="B95">
        <f>+VLOOKUP(Sheet1!$D114,cond_inter!$A$2:$I$145,3,0)</f>
        <v>0.25</v>
      </c>
      <c r="C95">
        <f>+VLOOKUP(Sheet1!$D114,cond_inter!$A$2:$I$145,4,0)</f>
        <v>1</v>
      </c>
      <c r="D95">
        <f>+VLOOKUP(Sheet1!$D114,cond_inter!$A$2:$I$145,5,0)</f>
        <v>3</v>
      </c>
      <c r="E95">
        <f>+VLOOKUP(C95,Sheet1!$A$2:$B$4,2,0)</f>
        <v>3</v>
      </c>
      <c r="F95">
        <f>+VLOOKUP(D95,Sheet1!$A$2:$B$4,2,0)</f>
        <v>90</v>
      </c>
      <c r="G95" t="str">
        <f>+VLOOKUP(A95,Sheet1!$G$2:$H$4,2,0)</f>
        <v>Fuchsia</v>
      </c>
      <c r="H95" t="str">
        <f>+VLOOKUP(B95,Sheet1!$G$2:$H$4,2,0)</f>
        <v>gold</v>
      </c>
      <c r="I95" t="str">
        <f>+VLOOKUP(Sheet1!$D114,cond_inter!$A$2:$I$145,6,0)</f>
        <v>gaze</v>
      </c>
      <c r="J95" t="str">
        <f>+VLOOKUP(Sheet1!$D114,cond_inter!$A$2:$I$145,7,0)</f>
        <v>stim/eyes.png</v>
      </c>
      <c r="K95" t="str">
        <f>+VLOOKUP(Sheet1!$D114,cond_inter!$A$2:$I$145,8,0)</f>
        <v>money</v>
      </c>
      <c r="L95">
        <f>+VLOOKUP(Sheet1!$D114,cond_inter!$A$2:$I$145,9,0)</f>
        <v>126</v>
      </c>
    </row>
    <row r="96" spans="1:12" x14ac:dyDescent="0.3">
      <c r="A96">
        <f>+VLOOKUP(Sheet1!$D115,cond_inter!$A$2:$I$145,2,0)</f>
        <v>0.75</v>
      </c>
      <c r="B96">
        <f>+VLOOKUP(Sheet1!$D115,cond_inter!$A$2:$I$145,3,0)</f>
        <v>0.5</v>
      </c>
      <c r="C96">
        <f>+VLOOKUP(Sheet1!$D115,cond_inter!$A$2:$I$145,4,0)</f>
        <v>2</v>
      </c>
      <c r="D96">
        <f>+VLOOKUP(Sheet1!$D115,cond_inter!$A$2:$I$145,5,0)</f>
        <v>3</v>
      </c>
      <c r="E96">
        <f>+VLOOKUP(C96,Sheet1!$A$2:$B$4,2,0)</f>
        <v>4</v>
      </c>
      <c r="F96">
        <f>+VLOOKUP(D96,Sheet1!$A$2:$B$4,2,0)</f>
        <v>90</v>
      </c>
      <c r="G96" t="str">
        <f>+VLOOKUP(A96,Sheet1!$G$2:$H$4,2,0)</f>
        <v>Fuchsia</v>
      </c>
      <c r="H96" t="str">
        <f>+VLOOKUP(B96,Sheet1!$G$2:$H$4,2,0)</f>
        <v>DeepSkyBlue</v>
      </c>
      <c r="I96" t="str">
        <f>+VLOOKUP(Sheet1!$D115,cond_inter!$A$2:$I$145,6,0)</f>
        <v>button</v>
      </c>
      <c r="J96" t="str">
        <f>+VLOOKUP(Sheet1!$D115,cond_inter!$A$2:$I$145,7,0)</f>
        <v>stim/button_press.png</v>
      </c>
      <c r="K96" t="str">
        <f>+VLOOKUP(Sheet1!$D115,cond_inter!$A$2:$I$145,8,0)</f>
        <v>money</v>
      </c>
      <c r="L96">
        <f>+VLOOKUP(Sheet1!$D115,cond_inter!$A$2:$I$145,9,0)</f>
        <v>96</v>
      </c>
    </row>
    <row r="97" spans="1:12" x14ac:dyDescent="0.3">
      <c r="A97">
        <f>+VLOOKUP(Sheet1!$D116,cond_inter!$A$2:$I$145,2,0)</f>
        <v>0.25</v>
      </c>
      <c r="B97">
        <f>+VLOOKUP(Sheet1!$D116,cond_inter!$A$2:$I$145,3,0)</f>
        <v>0.5</v>
      </c>
      <c r="C97">
        <f>+VLOOKUP(Sheet1!$D116,cond_inter!$A$2:$I$145,4,0)</f>
        <v>2</v>
      </c>
      <c r="D97">
        <f>+VLOOKUP(Sheet1!$D116,cond_inter!$A$2:$I$145,5,0)</f>
        <v>3</v>
      </c>
      <c r="E97">
        <f>+VLOOKUP(C97,Sheet1!$A$2:$B$4,2,0)</f>
        <v>4</v>
      </c>
      <c r="F97">
        <f>+VLOOKUP(D97,Sheet1!$A$2:$B$4,2,0)</f>
        <v>90</v>
      </c>
      <c r="G97" t="str">
        <f>+VLOOKUP(A97,Sheet1!$G$2:$H$4,2,0)</f>
        <v>gold</v>
      </c>
      <c r="H97" t="str">
        <f>+VLOOKUP(B97,Sheet1!$G$2:$H$4,2,0)</f>
        <v>DeepSkyBlue</v>
      </c>
      <c r="I97" t="str">
        <f>+VLOOKUP(Sheet1!$D116,cond_inter!$A$2:$I$145,6,0)</f>
        <v>button</v>
      </c>
      <c r="J97" t="str">
        <f>+VLOOKUP(Sheet1!$D116,cond_inter!$A$2:$I$145,7,0)</f>
        <v>stim/button_press.png</v>
      </c>
      <c r="K97" t="str">
        <f>+VLOOKUP(Sheet1!$D116,cond_inter!$A$2:$I$145,8,0)</f>
        <v>money</v>
      </c>
      <c r="L97">
        <f>+VLOOKUP(Sheet1!$D116,cond_inter!$A$2:$I$145,9,0)</f>
        <v>18</v>
      </c>
    </row>
    <row r="98" spans="1:12" x14ac:dyDescent="0.3">
      <c r="A98">
        <f>+VLOOKUP(Sheet1!$D117,cond_inter!$A$2:$I$145,2,0)</f>
        <v>0.75</v>
      </c>
      <c r="B98">
        <f>+VLOOKUP(Sheet1!$D117,cond_inter!$A$2:$I$145,3,0)</f>
        <v>0.75</v>
      </c>
      <c r="C98">
        <f>+VLOOKUP(Sheet1!$D117,cond_inter!$A$2:$I$145,4,0)</f>
        <v>1</v>
      </c>
      <c r="D98">
        <f>+VLOOKUP(Sheet1!$D117,cond_inter!$A$2:$I$145,5,0)</f>
        <v>2</v>
      </c>
      <c r="E98">
        <f>+VLOOKUP(C98,Sheet1!$A$2:$B$4,2,0)</f>
        <v>3</v>
      </c>
      <c r="F98">
        <f>+VLOOKUP(D98,Sheet1!$A$2:$B$4,2,0)</f>
        <v>4</v>
      </c>
      <c r="G98" t="str">
        <f>+VLOOKUP(A98,Sheet1!$G$2:$H$4,2,0)</f>
        <v>Fuchsia</v>
      </c>
      <c r="H98" t="str">
        <f>+VLOOKUP(B98,Sheet1!$G$2:$H$4,2,0)</f>
        <v>Fuchsia</v>
      </c>
      <c r="I98" t="str">
        <f>+VLOOKUP(Sheet1!$D117,cond_inter!$A$2:$I$145,6,0)</f>
        <v>button</v>
      </c>
      <c r="J98" t="str">
        <f>+VLOOKUP(Sheet1!$D117,cond_inter!$A$2:$I$145,7,0)</f>
        <v>stim/button_press.png</v>
      </c>
      <c r="K98" t="str">
        <f>+VLOOKUP(Sheet1!$D117,cond_inter!$A$2:$I$145,8,0)</f>
        <v>money</v>
      </c>
      <c r="L98">
        <f>+VLOOKUP(Sheet1!$D117,cond_inter!$A$2:$I$145,9,0)</f>
        <v>102</v>
      </c>
    </row>
    <row r="99" spans="1:12" x14ac:dyDescent="0.3">
      <c r="A99">
        <f>+VLOOKUP(Sheet1!$D118,cond_inter!$A$2:$I$145,2,0)</f>
        <v>0.25</v>
      </c>
      <c r="B99">
        <f>+VLOOKUP(Sheet1!$D118,cond_inter!$A$2:$I$145,3,0)</f>
        <v>0.5</v>
      </c>
      <c r="C99">
        <f>+VLOOKUP(Sheet1!$D118,cond_inter!$A$2:$I$145,4,0)</f>
        <v>1</v>
      </c>
      <c r="D99">
        <f>+VLOOKUP(Sheet1!$D118,cond_inter!$A$2:$I$145,5,0)</f>
        <v>2</v>
      </c>
      <c r="E99">
        <f>+VLOOKUP(C99,Sheet1!$A$2:$B$4,2,0)</f>
        <v>3</v>
      </c>
      <c r="F99">
        <f>+VLOOKUP(D99,Sheet1!$A$2:$B$4,2,0)</f>
        <v>4</v>
      </c>
      <c r="G99" t="str">
        <f>+VLOOKUP(A99,Sheet1!$G$2:$H$4,2,0)</f>
        <v>gold</v>
      </c>
      <c r="H99" t="str">
        <f>+VLOOKUP(B99,Sheet1!$G$2:$H$4,2,0)</f>
        <v>DeepSkyBlue</v>
      </c>
      <c r="I99" t="str">
        <f>+VLOOKUP(Sheet1!$D118,cond_inter!$A$2:$I$145,6,0)</f>
        <v>gaze</v>
      </c>
      <c r="J99" t="str">
        <f>+VLOOKUP(Sheet1!$D118,cond_inter!$A$2:$I$145,7,0)</f>
        <v>stim/eyes.png</v>
      </c>
      <c r="K99" t="str">
        <f>+VLOOKUP(Sheet1!$D118,cond_inter!$A$2:$I$145,8,0)</f>
        <v>money</v>
      </c>
      <c r="L99">
        <f>+VLOOKUP(Sheet1!$D118,cond_inter!$A$2:$I$145,9,0)</f>
        <v>29</v>
      </c>
    </row>
    <row r="100" spans="1:12" x14ac:dyDescent="0.3">
      <c r="A100">
        <f>+VLOOKUP(Sheet1!$D119,cond_inter!$A$2:$I$145,2,0)</f>
        <v>0.25</v>
      </c>
      <c r="B100">
        <f>+VLOOKUP(Sheet1!$D119,cond_inter!$A$2:$I$145,3,0)</f>
        <v>0.75</v>
      </c>
      <c r="C100">
        <f>+VLOOKUP(Sheet1!$D119,cond_inter!$A$2:$I$145,4,0)</f>
        <v>2</v>
      </c>
      <c r="D100">
        <f>+VLOOKUP(Sheet1!$D119,cond_inter!$A$2:$I$145,5,0)</f>
        <v>1</v>
      </c>
      <c r="E100">
        <f>+VLOOKUP(C100,Sheet1!$A$2:$B$4,2,0)</f>
        <v>4</v>
      </c>
      <c r="F100">
        <f>+VLOOKUP(D100,Sheet1!$A$2:$B$4,2,0)</f>
        <v>3</v>
      </c>
      <c r="G100" t="str">
        <f>+VLOOKUP(A100,Sheet1!$G$2:$H$4,2,0)</f>
        <v>gold</v>
      </c>
      <c r="H100" t="str">
        <f>+VLOOKUP(B100,Sheet1!$G$2:$H$4,2,0)</f>
        <v>Fuchsia</v>
      </c>
      <c r="I100" t="str">
        <f>+VLOOKUP(Sheet1!$D119,cond_inter!$A$2:$I$145,6,0)</f>
        <v>button</v>
      </c>
      <c r="J100" t="str">
        <f>+VLOOKUP(Sheet1!$D119,cond_inter!$A$2:$I$145,7,0)</f>
        <v>stim/button_press.png</v>
      </c>
      <c r="K100" t="str">
        <f>+VLOOKUP(Sheet1!$D119,cond_inter!$A$2:$I$145,8,0)</f>
        <v>money</v>
      </c>
      <c r="L100">
        <f>+VLOOKUP(Sheet1!$D119,cond_inter!$A$2:$I$145,9,0)</f>
        <v>8</v>
      </c>
    </row>
    <row r="101" spans="1:12" x14ac:dyDescent="0.3">
      <c r="A101">
        <f>+VLOOKUP(Sheet1!$D120,cond_inter!$A$2:$I$145,2,0)</f>
        <v>0.25</v>
      </c>
      <c r="B101">
        <f>+VLOOKUP(Sheet1!$D120,cond_inter!$A$2:$I$145,3,0)</f>
        <v>0.5</v>
      </c>
      <c r="C101">
        <f>+VLOOKUP(Sheet1!$D120,cond_inter!$A$2:$I$145,4,0)</f>
        <v>3</v>
      </c>
      <c r="D101">
        <f>+VLOOKUP(Sheet1!$D120,cond_inter!$A$2:$I$145,5,0)</f>
        <v>1</v>
      </c>
      <c r="E101">
        <f>+VLOOKUP(C101,Sheet1!$A$2:$B$4,2,0)</f>
        <v>90</v>
      </c>
      <c r="F101">
        <f>+VLOOKUP(D101,Sheet1!$A$2:$B$4,2,0)</f>
        <v>3</v>
      </c>
      <c r="G101" t="str">
        <f>+VLOOKUP(A101,Sheet1!$G$2:$H$4,2,0)</f>
        <v>gold</v>
      </c>
      <c r="H101" t="str">
        <f>+VLOOKUP(B101,Sheet1!$G$2:$H$4,2,0)</f>
        <v>DeepSkyBlue</v>
      </c>
      <c r="I101" t="str">
        <f>+VLOOKUP(Sheet1!$D120,cond_inter!$A$2:$I$145,6,0)</f>
        <v>gaze</v>
      </c>
      <c r="J101" t="str">
        <f>+VLOOKUP(Sheet1!$D120,cond_inter!$A$2:$I$145,7,0)</f>
        <v>stim/eyes.png</v>
      </c>
      <c r="K101" t="str">
        <f>+VLOOKUP(Sheet1!$D120,cond_inter!$A$2:$I$145,8,0)</f>
        <v>money</v>
      </c>
      <c r="L101">
        <f>+VLOOKUP(Sheet1!$D120,cond_inter!$A$2:$I$145,9,0)</f>
        <v>30</v>
      </c>
    </row>
    <row r="102" spans="1:12" x14ac:dyDescent="0.3">
      <c r="A102">
        <f>+VLOOKUP(Sheet1!$D121,cond_inter!$A$2:$I$145,2,0)</f>
        <v>0.5</v>
      </c>
      <c r="B102">
        <f>+VLOOKUP(Sheet1!$D121,cond_inter!$A$2:$I$145,3,0)</f>
        <v>0.25</v>
      </c>
      <c r="C102">
        <f>+VLOOKUP(Sheet1!$D121,cond_inter!$A$2:$I$145,4,0)</f>
        <v>2</v>
      </c>
      <c r="D102">
        <f>+VLOOKUP(Sheet1!$D121,cond_inter!$A$2:$I$145,5,0)</f>
        <v>1</v>
      </c>
      <c r="E102">
        <f>+VLOOKUP(C102,Sheet1!$A$2:$B$4,2,0)</f>
        <v>4</v>
      </c>
      <c r="F102">
        <f>+VLOOKUP(D102,Sheet1!$A$2:$B$4,2,0)</f>
        <v>3</v>
      </c>
      <c r="G102" t="str">
        <f>+VLOOKUP(A102,Sheet1!$G$2:$H$4,2,0)</f>
        <v>DeepSkyBlue</v>
      </c>
      <c r="H102" t="str">
        <f>+VLOOKUP(B102,Sheet1!$G$2:$H$4,2,0)</f>
        <v>gold</v>
      </c>
      <c r="I102" t="str">
        <f>+VLOOKUP(Sheet1!$D121,cond_inter!$A$2:$I$145,6,0)</f>
        <v>gaze</v>
      </c>
      <c r="J102" t="str">
        <f>+VLOOKUP(Sheet1!$D121,cond_inter!$A$2:$I$145,7,0)</f>
        <v>stim/eyes.png</v>
      </c>
      <c r="K102" t="str">
        <f>+VLOOKUP(Sheet1!$D121,cond_inter!$A$2:$I$145,8,0)</f>
        <v>money</v>
      </c>
      <c r="L102">
        <f>+VLOOKUP(Sheet1!$D121,cond_inter!$A$2:$I$145,9,0)</f>
        <v>92</v>
      </c>
    </row>
    <row r="103" spans="1:12" x14ac:dyDescent="0.3">
      <c r="A103">
        <f>+VLOOKUP(Sheet1!$D122,cond_inter!$A$2:$I$145,2,0)</f>
        <v>0.5</v>
      </c>
      <c r="B103">
        <f>+VLOOKUP(Sheet1!$D122,cond_inter!$A$2:$I$145,3,0)</f>
        <v>0.75</v>
      </c>
      <c r="C103">
        <f>+VLOOKUP(Sheet1!$D122,cond_inter!$A$2:$I$145,4,0)</f>
        <v>3</v>
      </c>
      <c r="D103">
        <f>+VLOOKUP(Sheet1!$D122,cond_inter!$A$2:$I$145,5,0)</f>
        <v>3</v>
      </c>
      <c r="E103">
        <f>+VLOOKUP(C103,Sheet1!$A$2:$B$4,2,0)</f>
        <v>90</v>
      </c>
      <c r="F103">
        <f>+VLOOKUP(D103,Sheet1!$A$2:$B$4,2,0)</f>
        <v>90</v>
      </c>
      <c r="G103" t="str">
        <f>+VLOOKUP(A103,Sheet1!$G$2:$H$4,2,0)</f>
        <v>DeepSkyBlue</v>
      </c>
      <c r="H103" t="str">
        <f>+VLOOKUP(B103,Sheet1!$G$2:$H$4,2,0)</f>
        <v>Fuchsia</v>
      </c>
      <c r="I103" t="str">
        <f>+VLOOKUP(Sheet1!$D122,cond_inter!$A$2:$I$145,6,0)</f>
        <v>gaze</v>
      </c>
      <c r="J103" t="str">
        <f>+VLOOKUP(Sheet1!$D122,cond_inter!$A$2:$I$145,7,0)</f>
        <v>stim/eyes.png</v>
      </c>
      <c r="K103" t="str">
        <f>+VLOOKUP(Sheet1!$D122,cond_inter!$A$2:$I$145,8,0)</f>
        <v>money</v>
      </c>
      <c r="L103">
        <f>+VLOOKUP(Sheet1!$D122,cond_inter!$A$2:$I$145,9,0)</f>
        <v>80</v>
      </c>
    </row>
    <row r="104" spans="1:12" x14ac:dyDescent="0.3">
      <c r="A104">
        <f>+VLOOKUP(Sheet1!$D123,cond_inter!$A$2:$I$145,2,0)</f>
        <v>0.5</v>
      </c>
      <c r="B104">
        <f>+VLOOKUP(Sheet1!$D123,cond_inter!$A$2:$I$145,3,0)</f>
        <v>0.25</v>
      </c>
      <c r="C104">
        <f>+VLOOKUP(Sheet1!$D123,cond_inter!$A$2:$I$145,4,0)</f>
        <v>1</v>
      </c>
      <c r="D104">
        <f>+VLOOKUP(Sheet1!$D123,cond_inter!$A$2:$I$145,5,0)</f>
        <v>2</v>
      </c>
      <c r="E104">
        <f>+VLOOKUP(C104,Sheet1!$A$2:$B$4,2,0)</f>
        <v>3</v>
      </c>
      <c r="F104">
        <f>+VLOOKUP(D104,Sheet1!$A$2:$B$4,2,0)</f>
        <v>4</v>
      </c>
      <c r="G104" t="str">
        <f>+VLOOKUP(A104,Sheet1!$G$2:$H$4,2,0)</f>
        <v>DeepSkyBlue</v>
      </c>
      <c r="H104" t="str">
        <f>+VLOOKUP(B104,Sheet1!$G$2:$H$4,2,0)</f>
        <v>gold</v>
      </c>
      <c r="I104" t="str">
        <f>+VLOOKUP(Sheet1!$D123,cond_inter!$A$2:$I$145,6,0)</f>
        <v>gaze</v>
      </c>
      <c r="J104" t="str">
        <f>+VLOOKUP(Sheet1!$D123,cond_inter!$A$2:$I$145,7,0)</f>
        <v>stim/eyes.png</v>
      </c>
      <c r="K104" t="str">
        <f>+VLOOKUP(Sheet1!$D123,cond_inter!$A$2:$I$145,8,0)</f>
        <v>money</v>
      </c>
      <c r="L104">
        <f>+VLOOKUP(Sheet1!$D123,cond_inter!$A$2:$I$145,9,0)</f>
        <v>82</v>
      </c>
    </row>
    <row r="105" spans="1:12" x14ac:dyDescent="0.3">
      <c r="A105">
        <f>+VLOOKUP(Sheet1!$D124,cond_inter!$A$2:$I$145,2,0)</f>
        <v>0.75</v>
      </c>
      <c r="B105">
        <f>+VLOOKUP(Sheet1!$D124,cond_inter!$A$2:$I$145,3,0)</f>
        <v>0.5</v>
      </c>
      <c r="C105">
        <f>+VLOOKUP(Sheet1!$D124,cond_inter!$A$2:$I$145,4,0)</f>
        <v>1</v>
      </c>
      <c r="D105">
        <f>+VLOOKUP(Sheet1!$D124,cond_inter!$A$2:$I$145,5,0)</f>
        <v>2</v>
      </c>
      <c r="E105">
        <f>+VLOOKUP(C105,Sheet1!$A$2:$B$4,2,0)</f>
        <v>3</v>
      </c>
      <c r="F105">
        <f>+VLOOKUP(D105,Sheet1!$A$2:$B$4,2,0)</f>
        <v>4</v>
      </c>
      <c r="G105" t="str">
        <f>+VLOOKUP(A105,Sheet1!$G$2:$H$4,2,0)</f>
        <v>Fuchsia</v>
      </c>
      <c r="H105" t="str">
        <f>+VLOOKUP(B105,Sheet1!$G$2:$H$4,2,0)</f>
        <v>DeepSkyBlue</v>
      </c>
      <c r="I105" t="str">
        <f>+VLOOKUP(Sheet1!$D124,cond_inter!$A$2:$I$145,6,0)</f>
        <v>gaze</v>
      </c>
      <c r="J105" t="str">
        <f>+VLOOKUP(Sheet1!$D124,cond_inter!$A$2:$I$145,7,0)</f>
        <v>stim/eyes.png</v>
      </c>
      <c r="K105" t="str">
        <f>+VLOOKUP(Sheet1!$D124,cond_inter!$A$2:$I$145,8,0)</f>
        <v>money</v>
      </c>
      <c r="L105">
        <f>+VLOOKUP(Sheet1!$D124,cond_inter!$A$2:$I$145,9,0)</f>
        <v>129</v>
      </c>
    </row>
    <row r="106" spans="1:12" x14ac:dyDescent="0.3">
      <c r="A106">
        <f>+VLOOKUP(Sheet1!$D125,cond_inter!$A$2:$I$145,2,0)</f>
        <v>0.75</v>
      </c>
      <c r="B106">
        <f>+VLOOKUP(Sheet1!$D125,cond_inter!$A$2:$I$145,3,0)</f>
        <v>0.25</v>
      </c>
      <c r="C106">
        <f>+VLOOKUP(Sheet1!$D125,cond_inter!$A$2:$I$145,4,0)</f>
        <v>3</v>
      </c>
      <c r="D106">
        <f>+VLOOKUP(Sheet1!$D125,cond_inter!$A$2:$I$145,5,0)</f>
        <v>1</v>
      </c>
      <c r="E106">
        <f>+VLOOKUP(C106,Sheet1!$A$2:$B$4,2,0)</f>
        <v>90</v>
      </c>
      <c r="F106">
        <f>+VLOOKUP(D106,Sheet1!$A$2:$B$4,2,0)</f>
        <v>3</v>
      </c>
      <c r="G106" t="str">
        <f>+VLOOKUP(A106,Sheet1!$G$2:$H$4,2,0)</f>
        <v>Fuchsia</v>
      </c>
      <c r="H106" t="str">
        <f>+VLOOKUP(B106,Sheet1!$G$2:$H$4,2,0)</f>
        <v>gold</v>
      </c>
      <c r="I106" t="str">
        <f>+VLOOKUP(Sheet1!$D125,cond_inter!$A$2:$I$145,6,0)</f>
        <v>button</v>
      </c>
      <c r="J106" t="str">
        <f>+VLOOKUP(Sheet1!$D125,cond_inter!$A$2:$I$145,7,0)</f>
        <v>stim/button_press.png</v>
      </c>
      <c r="K106" t="str">
        <f>+VLOOKUP(Sheet1!$D125,cond_inter!$A$2:$I$145,8,0)</f>
        <v>money</v>
      </c>
      <c r="L106">
        <f>+VLOOKUP(Sheet1!$D125,cond_inter!$A$2:$I$145,9,0)</f>
        <v>103</v>
      </c>
    </row>
    <row r="107" spans="1:12" x14ac:dyDescent="0.3">
      <c r="A107">
        <f>+VLOOKUP(Sheet1!$D126,cond_inter!$A$2:$I$145,2,0)</f>
        <v>0.5</v>
      </c>
      <c r="B107">
        <f>+VLOOKUP(Sheet1!$D126,cond_inter!$A$2:$I$145,3,0)</f>
        <v>0.25</v>
      </c>
      <c r="C107">
        <f>+VLOOKUP(Sheet1!$D126,cond_inter!$A$2:$I$145,4,0)</f>
        <v>1</v>
      </c>
      <c r="D107">
        <f>+VLOOKUP(Sheet1!$D126,cond_inter!$A$2:$I$145,5,0)</f>
        <v>3</v>
      </c>
      <c r="E107">
        <f>+VLOOKUP(C107,Sheet1!$A$2:$B$4,2,0)</f>
        <v>3</v>
      </c>
      <c r="F107">
        <f>+VLOOKUP(D107,Sheet1!$A$2:$B$4,2,0)</f>
        <v>90</v>
      </c>
      <c r="G107" t="str">
        <f>+VLOOKUP(A107,Sheet1!$G$2:$H$4,2,0)</f>
        <v>DeepSkyBlue</v>
      </c>
      <c r="H107" t="str">
        <f>+VLOOKUP(B107,Sheet1!$G$2:$H$4,2,0)</f>
        <v>gold</v>
      </c>
      <c r="I107" t="str">
        <f>+VLOOKUP(Sheet1!$D126,cond_inter!$A$2:$I$145,6,0)</f>
        <v>gaze</v>
      </c>
      <c r="J107" t="str">
        <f>+VLOOKUP(Sheet1!$D126,cond_inter!$A$2:$I$145,7,0)</f>
        <v>stim/eyes.png</v>
      </c>
      <c r="K107" t="str">
        <f>+VLOOKUP(Sheet1!$D126,cond_inter!$A$2:$I$145,8,0)</f>
        <v>money</v>
      </c>
      <c r="L107">
        <f>+VLOOKUP(Sheet1!$D126,cond_inter!$A$2:$I$145,9,0)</f>
        <v>76</v>
      </c>
    </row>
    <row r="108" spans="1:12" x14ac:dyDescent="0.3">
      <c r="A108">
        <f>+VLOOKUP(Sheet1!$D127,cond_inter!$A$2:$I$145,2,0)</f>
        <v>0.75</v>
      </c>
      <c r="B108">
        <f>+VLOOKUP(Sheet1!$D127,cond_inter!$A$2:$I$145,3,0)</f>
        <v>0.25</v>
      </c>
      <c r="C108">
        <f>+VLOOKUP(Sheet1!$D127,cond_inter!$A$2:$I$145,4,0)</f>
        <v>1</v>
      </c>
      <c r="D108">
        <f>+VLOOKUP(Sheet1!$D127,cond_inter!$A$2:$I$145,5,0)</f>
        <v>3</v>
      </c>
      <c r="E108">
        <f>+VLOOKUP(C108,Sheet1!$A$2:$B$4,2,0)</f>
        <v>3</v>
      </c>
      <c r="F108">
        <f>+VLOOKUP(D108,Sheet1!$A$2:$B$4,2,0)</f>
        <v>90</v>
      </c>
      <c r="G108" t="str">
        <f>+VLOOKUP(A108,Sheet1!$G$2:$H$4,2,0)</f>
        <v>Fuchsia</v>
      </c>
      <c r="H108" t="str">
        <f>+VLOOKUP(B108,Sheet1!$G$2:$H$4,2,0)</f>
        <v>gold</v>
      </c>
      <c r="I108" t="str">
        <f>+VLOOKUP(Sheet1!$D127,cond_inter!$A$2:$I$145,6,0)</f>
        <v>button</v>
      </c>
      <c r="J108" t="str">
        <f>+VLOOKUP(Sheet1!$D127,cond_inter!$A$2:$I$145,7,0)</f>
        <v>stim/button_press.png</v>
      </c>
      <c r="K108" t="str">
        <f>+VLOOKUP(Sheet1!$D127,cond_inter!$A$2:$I$145,8,0)</f>
        <v>money</v>
      </c>
      <c r="L108">
        <f>+VLOOKUP(Sheet1!$D127,cond_inter!$A$2:$I$145,9,0)</f>
        <v>111</v>
      </c>
    </row>
    <row r="109" spans="1:12" x14ac:dyDescent="0.3">
      <c r="A109">
        <f>+VLOOKUP(Sheet1!$D128,cond_inter!$A$2:$I$145,2,0)</f>
        <v>0.25</v>
      </c>
      <c r="B109">
        <f>+VLOOKUP(Sheet1!$D128,cond_inter!$A$2:$I$145,3,0)</f>
        <v>0.5</v>
      </c>
      <c r="C109">
        <f>+VLOOKUP(Sheet1!$D128,cond_inter!$A$2:$I$145,4,0)</f>
        <v>2</v>
      </c>
      <c r="D109">
        <f>+VLOOKUP(Sheet1!$D128,cond_inter!$A$2:$I$145,5,0)</f>
        <v>1</v>
      </c>
      <c r="E109">
        <f>+VLOOKUP(C109,Sheet1!$A$2:$B$4,2,0)</f>
        <v>4</v>
      </c>
      <c r="F109">
        <f>+VLOOKUP(D109,Sheet1!$A$2:$B$4,2,0)</f>
        <v>3</v>
      </c>
      <c r="G109" t="str">
        <f>+VLOOKUP(A109,Sheet1!$G$2:$H$4,2,0)</f>
        <v>gold</v>
      </c>
      <c r="H109" t="str">
        <f>+VLOOKUP(B109,Sheet1!$G$2:$H$4,2,0)</f>
        <v>DeepSkyBlue</v>
      </c>
      <c r="I109" t="str">
        <f>+VLOOKUP(Sheet1!$D128,cond_inter!$A$2:$I$145,6,0)</f>
        <v>button</v>
      </c>
      <c r="J109" t="str">
        <f>+VLOOKUP(Sheet1!$D128,cond_inter!$A$2:$I$145,7,0)</f>
        <v>stim/button_press.png</v>
      </c>
      <c r="K109" t="str">
        <f>+VLOOKUP(Sheet1!$D128,cond_inter!$A$2:$I$145,8,0)</f>
        <v>money</v>
      </c>
      <c r="L109">
        <f>+VLOOKUP(Sheet1!$D128,cond_inter!$A$2:$I$145,9,0)</f>
        <v>12</v>
      </c>
    </row>
    <row r="110" spans="1:12" x14ac:dyDescent="0.3">
      <c r="A110">
        <f>+VLOOKUP(Sheet1!$D129,cond_inter!$A$2:$I$145,2,0)</f>
        <v>0.75</v>
      </c>
      <c r="B110">
        <f>+VLOOKUP(Sheet1!$D129,cond_inter!$A$2:$I$145,3,0)</f>
        <v>0.25</v>
      </c>
      <c r="C110">
        <f>+VLOOKUP(Sheet1!$D129,cond_inter!$A$2:$I$145,4,0)</f>
        <v>1</v>
      </c>
      <c r="D110">
        <f>+VLOOKUP(Sheet1!$D129,cond_inter!$A$2:$I$145,5,0)</f>
        <v>2</v>
      </c>
      <c r="E110">
        <f>+VLOOKUP(C110,Sheet1!$A$2:$B$4,2,0)</f>
        <v>3</v>
      </c>
      <c r="F110">
        <f>+VLOOKUP(D110,Sheet1!$A$2:$B$4,2,0)</f>
        <v>4</v>
      </c>
      <c r="G110" t="str">
        <f>+VLOOKUP(A110,Sheet1!$G$2:$H$4,2,0)</f>
        <v>Fuchsia</v>
      </c>
      <c r="H110" t="str">
        <f>+VLOOKUP(B110,Sheet1!$G$2:$H$4,2,0)</f>
        <v>gold</v>
      </c>
      <c r="I110" t="str">
        <f>+VLOOKUP(Sheet1!$D129,cond_inter!$A$2:$I$145,6,0)</f>
        <v>button</v>
      </c>
      <c r="J110" t="str">
        <f>+VLOOKUP(Sheet1!$D129,cond_inter!$A$2:$I$145,7,0)</f>
        <v>stim/button_press.png</v>
      </c>
      <c r="K110" t="str">
        <f>+VLOOKUP(Sheet1!$D129,cond_inter!$A$2:$I$145,8,0)</f>
        <v>money</v>
      </c>
      <c r="L110">
        <f>+VLOOKUP(Sheet1!$D129,cond_inter!$A$2:$I$145,9,0)</f>
        <v>119</v>
      </c>
    </row>
    <row r="111" spans="1:12" x14ac:dyDescent="0.3">
      <c r="A111">
        <f>+VLOOKUP(Sheet1!$D130,cond_inter!$A$2:$I$145,2,0)</f>
        <v>0.25</v>
      </c>
      <c r="B111">
        <f>+VLOOKUP(Sheet1!$D130,cond_inter!$A$2:$I$145,3,0)</f>
        <v>0.5</v>
      </c>
      <c r="C111">
        <f>+VLOOKUP(Sheet1!$D130,cond_inter!$A$2:$I$145,4,0)</f>
        <v>3</v>
      </c>
      <c r="D111">
        <f>+VLOOKUP(Sheet1!$D130,cond_inter!$A$2:$I$145,5,0)</f>
        <v>3</v>
      </c>
      <c r="E111">
        <f>+VLOOKUP(C111,Sheet1!$A$2:$B$4,2,0)</f>
        <v>90</v>
      </c>
      <c r="F111">
        <f>+VLOOKUP(D111,Sheet1!$A$2:$B$4,2,0)</f>
        <v>90</v>
      </c>
      <c r="G111" t="str">
        <f>+VLOOKUP(A111,Sheet1!$G$2:$H$4,2,0)</f>
        <v>gold</v>
      </c>
      <c r="H111" t="str">
        <f>+VLOOKUP(B111,Sheet1!$G$2:$H$4,2,0)</f>
        <v>DeepSkyBlue</v>
      </c>
      <c r="I111" t="str">
        <f>+VLOOKUP(Sheet1!$D130,cond_inter!$A$2:$I$145,6,0)</f>
        <v>button</v>
      </c>
      <c r="J111" t="str">
        <f>+VLOOKUP(Sheet1!$D130,cond_inter!$A$2:$I$145,7,0)</f>
        <v>stim/button_press.png</v>
      </c>
      <c r="K111" t="str">
        <f>+VLOOKUP(Sheet1!$D130,cond_inter!$A$2:$I$145,8,0)</f>
        <v>money</v>
      </c>
      <c r="L111">
        <f>+VLOOKUP(Sheet1!$D130,cond_inter!$A$2:$I$145,9,0)</f>
        <v>5</v>
      </c>
    </row>
    <row r="112" spans="1:12" x14ac:dyDescent="0.3">
      <c r="A112">
        <f>+VLOOKUP(Sheet1!$D131,cond_inter!$A$2:$I$145,2,0)</f>
        <v>0.25</v>
      </c>
      <c r="B112">
        <f>+VLOOKUP(Sheet1!$D131,cond_inter!$A$2:$I$145,3,0)</f>
        <v>0.75</v>
      </c>
      <c r="C112">
        <f>+VLOOKUP(Sheet1!$D131,cond_inter!$A$2:$I$145,4,0)</f>
        <v>1</v>
      </c>
      <c r="D112">
        <f>+VLOOKUP(Sheet1!$D131,cond_inter!$A$2:$I$145,5,0)</f>
        <v>2</v>
      </c>
      <c r="E112">
        <f>+VLOOKUP(C112,Sheet1!$A$2:$B$4,2,0)</f>
        <v>3</v>
      </c>
      <c r="F112">
        <f>+VLOOKUP(D112,Sheet1!$A$2:$B$4,2,0)</f>
        <v>4</v>
      </c>
      <c r="G112" t="str">
        <f>+VLOOKUP(A112,Sheet1!$G$2:$H$4,2,0)</f>
        <v>gold</v>
      </c>
      <c r="H112" t="str">
        <f>+VLOOKUP(B112,Sheet1!$G$2:$H$4,2,0)</f>
        <v>Fuchsia</v>
      </c>
      <c r="I112" t="str">
        <f>+VLOOKUP(Sheet1!$D131,cond_inter!$A$2:$I$145,6,0)</f>
        <v>gaze</v>
      </c>
      <c r="J112" t="str">
        <f>+VLOOKUP(Sheet1!$D131,cond_inter!$A$2:$I$145,7,0)</f>
        <v>stim/eyes.png</v>
      </c>
      <c r="K112" t="str">
        <f>+VLOOKUP(Sheet1!$D131,cond_inter!$A$2:$I$145,8,0)</f>
        <v>money</v>
      </c>
      <c r="L112">
        <f>+VLOOKUP(Sheet1!$D131,cond_inter!$A$2:$I$145,9,0)</f>
        <v>47</v>
      </c>
    </row>
    <row r="113" spans="1:12" x14ac:dyDescent="0.3">
      <c r="A113">
        <f>+VLOOKUP(Sheet1!$D132,cond_inter!$A$2:$I$145,2,0)</f>
        <v>0.5</v>
      </c>
      <c r="B113">
        <f>+VLOOKUP(Sheet1!$D132,cond_inter!$A$2:$I$145,3,0)</f>
        <v>0.75</v>
      </c>
      <c r="C113">
        <f>+VLOOKUP(Sheet1!$D132,cond_inter!$A$2:$I$145,4,0)</f>
        <v>3</v>
      </c>
      <c r="D113">
        <f>+VLOOKUP(Sheet1!$D132,cond_inter!$A$2:$I$145,5,0)</f>
        <v>2</v>
      </c>
      <c r="E113">
        <f>+VLOOKUP(C113,Sheet1!$A$2:$B$4,2,0)</f>
        <v>90</v>
      </c>
      <c r="F113">
        <f>+VLOOKUP(D113,Sheet1!$A$2:$B$4,2,0)</f>
        <v>4</v>
      </c>
      <c r="G113" t="str">
        <f>+VLOOKUP(A113,Sheet1!$G$2:$H$4,2,0)</f>
        <v>DeepSkyBlue</v>
      </c>
      <c r="H113" t="str">
        <f>+VLOOKUP(B113,Sheet1!$G$2:$H$4,2,0)</f>
        <v>Fuchsia</v>
      </c>
      <c r="I113" t="str">
        <f>+VLOOKUP(Sheet1!$D132,cond_inter!$A$2:$I$145,6,0)</f>
        <v>gaze</v>
      </c>
      <c r="J113" t="str">
        <f>+VLOOKUP(Sheet1!$D132,cond_inter!$A$2:$I$145,7,0)</f>
        <v>stim/eyes.png</v>
      </c>
      <c r="K113" t="str">
        <f>+VLOOKUP(Sheet1!$D132,cond_inter!$A$2:$I$145,8,0)</f>
        <v>money</v>
      </c>
      <c r="L113">
        <f>+VLOOKUP(Sheet1!$D132,cond_inter!$A$2:$I$145,9,0)</f>
        <v>95</v>
      </c>
    </row>
    <row r="114" spans="1:12" x14ac:dyDescent="0.3">
      <c r="A114">
        <f>+VLOOKUP(Sheet1!$D133,cond_inter!$A$2:$I$145,2,0)</f>
        <v>0.25</v>
      </c>
      <c r="B114">
        <f>+VLOOKUP(Sheet1!$D133,cond_inter!$A$2:$I$145,3,0)</f>
        <v>0.75</v>
      </c>
      <c r="C114">
        <f>+VLOOKUP(Sheet1!$D133,cond_inter!$A$2:$I$145,4,0)</f>
        <v>3</v>
      </c>
      <c r="D114">
        <f>+VLOOKUP(Sheet1!$D133,cond_inter!$A$2:$I$145,5,0)</f>
        <v>2</v>
      </c>
      <c r="E114">
        <f>+VLOOKUP(C114,Sheet1!$A$2:$B$4,2,0)</f>
        <v>90</v>
      </c>
      <c r="F114">
        <f>+VLOOKUP(D114,Sheet1!$A$2:$B$4,2,0)</f>
        <v>4</v>
      </c>
      <c r="G114" t="str">
        <f>+VLOOKUP(A114,Sheet1!$G$2:$H$4,2,0)</f>
        <v>gold</v>
      </c>
      <c r="H114" t="str">
        <f>+VLOOKUP(B114,Sheet1!$G$2:$H$4,2,0)</f>
        <v>Fuchsia</v>
      </c>
      <c r="I114" t="str">
        <f>+VLOOKUP(Sheet1!$D133,cond_inter!$A$2:$I$145,6,0)</f>
        <v>gaze</v>
      </c>
      <c r="J114" t="str">
        <f>+VLOOKUP(Sheet1!$D133,cond_inter!$A$2:$I$145,7,0)</f>
        <v>stim/eyes.png</v>
      </c>
      <c r="K114" t="str">
        <f>+VLOOKUP(Sheet1!$D133,cond_inter!$A$2:$I$145,8,0)</f>
        <v>money</v>
      </c>
      <c r="L114">
        <f>+VLOOKUP(Sheet1!$D133,cond_inter!$A$2:$I$145,9,0)</f>
        <v>28</v>
      </c>
    </row>
    <row r="115" spans="1:12" x14ac:dyDescent="0.3">
      <c r="A115">
        <f>+VLOOKUP(Sheet1!$D134,cond_inter!$A$2:$I$145,2,0)</f>
        <v>0.25</v>
      </c>
      <c r="B115">
        <f>+VLOOKUP(Sheet1!$D134,cond_inter!$A$2:$I$145,3,0)</f>
        <v>0.25</v>
      </c>
      <c r="C115">
        <f>+VLOOKUP(Sheet1!$D134,cond_inter!$A$2:$I$145,4,0)</f>
        <v>3</v>
      </c>
      <c r="D115">
        <f>+VLOOKUP(Sheet1!$D134,cond_inter!$A$2:$I$145,5,0)</f>
        <v>2</v>
      </c>
      <c r="E115">
        <f>+VLOOKUP(C115,Sheet1!$A$2:$B$4,2,0)</f>
        <v>90</v>
      </c>
      <c r="F115">
        <f>+VLOOKUP(D115,Sheet1!$A$2:$B$4,2,0)</f>
        <v>4</v>
      </c>
      <c r="G115" t="str">
        <f>+VLOOKUP(A115,Sheet1!$G$2:$H$4,2,0)</f>
        <v>gold</v>
      </c>
      <c r="H115" t="str">
        <f>+VLOOKUP(B115,Sheet1!$G$2:$H$4,2,0)</f>
        <v>gold</v>
      </c>
      <c r="I115" t="str">
        <f>+VLOOKUP(Sheet1!$D134,cond_inter!$A$2:$I$145,6,0)</f>
        <v>button</v>
      </c>
      <c r="J115" t="str">
        <f>+VLOOKUP(Sheet1!$D134,cond_inter!$A$2:$I$145,7,0)</f>
        <v>stim/button_press.png</v>
      </c>
      <c r="K115" t="str">
        <f>+VLOOKUP(Sheet1!$D134,cond_inter!$A$2:$I$145,8,0)</f>
        <v>money</v>
      </c>
      <c r="L115">
        <f>+VLOOKUP(Sheet1!$D134,cond_inter!$A$2:$I$145,9,0)</f>
        <v>15</v>
      </c>
    </row>
    <row r="116" spans="1:12" x14ac:dyDescent="0.3">
      <c r="A116">
        <f>+VLOOKUP(Sheet1!$D135,cond_inter!$A$2:$I$145,2,0)</f>
        <v>0.75</v>
      </c>
      <c r="B116">
        <f>+VLOOKUP(Sheet1!$D135,cond_inter!$A$2:$I$145,3,0)</f>
        <v>0.25</v>
      </c>
      <c r="C116">
        <f>+VLOOKUP(Sheet1!$D135,cond_inter!$A$2:$I$145,4,0)</f>
        <v>2</v>
      </c>
      <c r="D116">
        <f>+VLOOKUP(Sheet1!$D135,cond_inter!$A$2:$I$145,5,0)</f>
        <v>2</v>
      </c>
      <c r="E116">
        <f>+VLOOKUP(C116,Sheet1!$A$2:$B$4,2,0)</f>
        <v>4</v>
      </c>
      <c r="F116">
        <f>+VLOOKUP(D116,Sheet1!$A$2:$B$4,2,0)</f>
        <v>4</v>
      </c>
      <c r="G116" t="str">
        <f>+VLOOKUP(A116,Sheet1!$G$2:$H$4,2,0)</f>
        <v>Fuchsia</v>
      </c>
      <c r="H116" t="str">
        <f>+VLOOKUP(B116,Sheet1!$G$2:$H$4,2,0)</f>
        <v>gold</v>
      </c>
      <c r="I116" t="str">
        <f>+VLOOKUP(Sheet1!$D135,cond_inter!$A$2:$I$145,6,0)</f>
        <v>button</v>
      </c>
      <c r="J116" t="str">
        <f>+VLOOKUP(Sheet1!$D135,cond_inter!$A$2:$I$145,7,0)</f>
        <v>stim/button_press.png</v>
      </c>
      <c r="K116" t="str">
        <f>+VLOOKUP(Sheet1!$D135,cond_inter!$A$2:$I$145,8,0)</f>
        <v>money</v>
      </c>
      <c r="L116">
        <f>+VLOOKUP(Sheet1!$D135,cond_inter!$A$2:$I$145,9,0)</f>
        <v>100</v>
      </c>
    </row>
    <row r="117" spans="1:12" x14ac:dyDescent="0.3">
      <c r="A117">
        <f>+VLOOKUP(Sheet1!$D136,cond_inter!$A$2:$I$145,2,0)</f>
        <v>0.5</v>
      </c>
      <c r="B117">
        <f>+VLOOKUP(Sheet1!$D136,cond_inter!$A$2:$I$145,3,0)</f>
        <v>0.5</v>
      </c>
      <c r="C117">
        <f>+VLOOKUP(Sheet1!$D136,cond_inter!$A$2:$I$145,4,0)</f>
        <v>2</v>
      </c>
      <c r="D117">
        <f>+VLOOKUP(Sheet1!$D136,cond_inter!$A$2:$I$145,5,0)</f>
        <v>3</v>
      </c>
      <c r="E117">
        <f>+VLOOKUP(C117,Sheet1!$A$2:$B$4,2,0)</f>
        <v>4</v>
      </c>
      <c r="F117">
        <f>+VLOOKUP(D117,Sheet1!$A$2:$B$4,2,0)</f>
        <v>90</v>
      </c>
      <c r="G117" t="str">
        <f>+VLOOKUP(A117,Sheet1!$G$2:$H$4,2,0)</f>
        <v>DeepSkyBlue</v>
      </c>
      <c r="H117" t="str">
        <f>+VLOOKUP(B117,Sheet1!$G$2:$H$4,2,0)</f>
        <v>DeepSkyBlue</v>
      </c>
      <c r="I117" t="str">
        <f>+VLOOKUP(Sheet1!$D136,cond_inter!$A$2:$I$145,6,0)</f>
        <v>button</v>
      </c>
      <c r="J117" t="str">
        <f>+VLOOKUP(Sheet1!$D136,cond_inter!$A$2:$I$145,7,0)</f>
        <v>stim/button_press.png</v>
      </c>
      <c r="K117" t="str">
        <f>+VLOOKUP(Sheet1!$D136,cond_inter!$A$2:$I$145,8,0)</f>
        <v>money</v>
      </c>
      <c r="L117">
        <f>+VLOOKUP(Sheet1!$D136,cond_inter!$A$2:$I$145,9,0)</f>
        <v>55</v>
      </c>
    </row>
    <row r="118" spans="1:12" x14ac:dyDescent="0.3">
      <c r="A118">
        <f>+VLOOKUP(Sheet1!$D137,cond_inter!$A$2:$I$145,2,0)</f>
        <v>0.75</v>
      </c>
      <c r="B118">
        <f>+VLOOKUP(Sheet1!$D137,cond_inter!$A$2:$I$145,3,0)</f>
        <v>0.75</v>
      </c>
      <c r="C118">
        <f>+VLOOKUP(Sheet1!$D137,cond_inter!$A$2:$I$145,4,0)</f>
        <v>3</v>
      </c>
      <c r="D118">
        <f>+VLOOKUP(Sheet1!$D137,cond_inter!$A$2:$I$145,5,0)</f>
        <v>1</v>
      </c>
      <c r="E118">
        <f>+VLOOKUP(C118,Sheet1!$A$2:$B$4,2,0)</f>
        <v>90</v>
      </c>
      <c r="F118">
        <f>+VLOOKUP(D118,Sheet1!$A$2:$B$4,2,0)</f>
        <v>3</v>
      </c>
      <c r="G118" t="str">
        <f>+VLOOKUP(A118,Sheet1!$G$2:$H$4,2,0)</f>
        <v>Fuchsia</v>
      </c>
      <c r="H118" t="str">
        <f>+VLOOKUP(B118,Sheet1!$G$2:$H$4,2,0)</f>
        <v>Fuchsia</v>
      </c>
      <c r="I118" t="str">
        <f>+VLOOKUP(Sheet1!$D137,cond_inter!$A$2:$I$145,6,0)</f>
        <v>button</v>
      </c>
      <c r="J118" t="str">
        <f>+VLOOKUP(Sheet1!$D137,cond_inter!$A$2:$I$145,7,0)</f>
        <v>stim/button_press.png</v>
      </c>
      <c r="K118" t="str">
        <f>+VLOOKUP(Sheet1!$D137,cond_inter!$A$2:$I$145,8,0)</f>
        <v>money</v>
      </c>
      <c r="L118">
        <f>+VLOOKUP(Sheet1!$D137,cond_inter!$A$2:$I$145,9,0)</f>
        <v>107</v>
      </c>
    </row>
    <row r="119" spans="1:12" x14ac:dyDescent="0.3">
      <c r="A119">
        <f>+VLOOKUP(Sheet1!$D138,cond_inter!$A$2:$I$145,2,0)</f>
        <v>0.75</v>
      </c>
      <c r="B119">
        <f>+VLOOKUP(Sheet1!$D138,cond_inter!$A$2:$I$145,3,0)</f>
        <v>0.75</v>
      </c>
      <c r="C119">
        <f>+VLOOKUP(Sheet1!$D138,cond_inter!$A$2:$I$145,4,0)</f>
        <v>2</v>
      </c>
      <c r="D119">
        <f>+VLOOKUP(Sheet1!$D138,cond_inter!$A$2:$I$145,5,0)</f>
        <v>3</v>
      </c>
      <c r="E119">
        <f>+VLOOKUP(C119,Sheet1!$A$2:$B$4,2,0)</f>
        <v>4</v>
      </c>
      <c r="F119">
        <f>+VLOOKUP(D119,Sheet1!$A$2:$B$4,2,0)</f>
        <v>90</v>
      </c>
      <c r="G119" t="str">
        <f>+VLOOKUP(A119,Sheet1!$G$2:$H$4,2,0)</f>
        <v>Fuchsia</v>
      </c>
      <c r="H119" t="str">
        <f>+VLOOKUP(B119,Sheet1!$G$2:$H$4,2,0)</f>
        <v>Fuchsia</v>
      </c>
      <c r="I119" t="str">
        <f>+VLOOKUP(Sheet1!$D138,cond_inter!$A$2:$I$145,6,0)</f>
        <v>button</v>
      </c>
      <c r="J119" t="str">
        <f>+VLOOKUP(Sheet1!$D138,cond_inter!$A$2:$I$145,7,0)</f>
        <v>stim/button_press.png</v>
      </c>
      <c r="K119" t="str">
        <f>+VLOOKUP(Sheet1!$D138,cond_inter!$A$2:$I$145,8,0)</f>
        <v>money</v>
      </c>
      <c r="L119">
        <f>+VLOOKUP(Sheet1!$D138,cond_inter!$A$2:$I$145,9,0)</f>
        <v>101</v>
      </c>
    </row>
    <row r="120" spans="1:12" x14ac:dyDescent="0.3">
      <c r="A120">
        <f>+VLOOKUP(Sheet1!$D139,cond_inter!$A$2:$I$145,2,0)</f>
        <v>0.25</v>
      </c>
      <c r="B120">
        <f>+VLOOKUP(Sheet1!$D139,cond_inter!$A$2:$I$145,3,0)</f>
        <v>0.75</v>
      </c>
      <c r="C120">
        <f>+VLOOKUP(Sheet1!$D139,cond_inter!$A$2:$I$145,4,0)</f>
        <v>3</v>
      </c>
      <c r="D120">
        <f>+VLOOKUP(Sheet1!$D139,cond_inter!$A$2:$I$145,5,0)</f>
        <v>2</v>
      </c>
      <c r="E120">
        <f>+VLOOKUP(C120,Sheet1!$A$2:$B$4,2,0)</f>
        <v>90</v>
      </c>
      <c r="F120">
        <f>+VLOOKUP(D120,Sheet1!$A$2:$B$4,2,0)</f>
        <v>4</v>
      </c>
      <c r="G120" t="str">
        <f>+VLOOKUP(A120,Sheet1!$G$2:$H$4,2,0)</f>
        <v>gold</v>
      </c>
      <c r="H120" t="str">
        <f>+VLOOKUP(B120,Sheet1!$G$2:$H$4,2,0)</f>
        <v>Fuchsia</v>
      </c>
      <c r="I120" t="str">
        <f>+VLOOKUP(Sheet1!$D139,cond_inter!$A$2:$I$145,6,0)</f>
        <v>button</v>
      </c>
      <c r="J120" t="str">
        <f>+VLOOKUP(Sheet1!$D139,cond_inter!$A$2:$I$145,7,0)</f>
        <v>stim/button_press.png</v>
      </c>
      <c r="K120" t="str">
        <f>+VLOOKUP(Sheet1!$D139,cond_inter!$A$2:$I$145,8,0)</f>
        <v>money</v>
      </c>
      <c r="L120">
        <f>+VLOOKUP(Sheet1!$D139,cond_inter!$A$2:$I$145,9,0)</f>
        <v>23</v>
      </c>
    </row>
    <row r="121" spans="1:12" x14ac:dyDescent="0.3">
      <c r="A121">
        <f>+VLOOKUP(Sheet1!$D140,cond_inter!$A$2:$I$145,2,0)</f>
        <v>0.75</v>
      </c>
      <c r="B121">
        <f>+VLOOKUP(Sheet1!$D140,cond_inter!$A$2:$I$145,3,0)</f>
        <v>0.25</v>
      </c>
      <c r="C121">
        <f>+VLOOKUP(Sheet1!$D140,cond_inter!$A$2:$I$145,4,0)</f>
        <v>1</v>
      </c>
      <c r="D121">
        <f>+VLOOKUP(Sheet1!$D140,cond_inter!$A$2:$I$145,5,0)</f>
        <v>1</v>
      </c>
      <c r="E121">
        <f>+VLOOKUP(C121,Sheet1!$A$2:$B$4,2,0)</f>
        <v>3</v>
      </c>
      <c r="F121">
        <f>+VLOOKUP(D121,Sheet1!$A$2:$B$4,2,0)</f>
        <v>3</v>
      </c>
      <c r="G121" t="str">
        <f>+VLOOKUP(A121,Sheet1!$G$2:$H$4,2,0)</f>
        <v>Fuchsia</v>
      </c>
      <c r="H121" t="str">
        <f>+VLOOKUP(B121,Sheet1!$G$2:$H$4,2,0)</f>
        <v>gold</v>
      </c>
      <c r="I121" t="str">
        <f>+VLOOKUP(Sheet1!$D140,cond_inter!$A$2:$I$145,6,0)</f>
        <v>button</v>
      </c>
      <c r="J121" t="str">
        <f>+VLOOKUP(Sheet1!$D140,cond_inter!$A$2:$I$145,7,0)</f>
        <v>stim/button_press.png</v>
      </c>
      <c r="K121" t="str">
        <f>+VLOOKUP(Sheet1!$D140,cond_inter!$A$2:$I$145,8,0)</f>
        <v>money</v>
      </c>
      <c r="L121">
        <f>+VLOOKUP(Sheet1!$D140,cond_inter!$A$2:$I$145,9,0)</f>
        <v>118</v>
      </c>
    </row>
    <row r="122" spans="1:12" x14ac:dyDescent="0.3">
      <c r="A122">
        <f>+VLOOKUP(Sheet1!$D141,cond_inter!$A$2:$I$145,2,0)</f>
        <v>0.25</v>
      </c>
      <c r="B122">
        <f>+VLOOKUP(Sheet1!$D141,cond_inter!$A$2:$I$145,3,0)</f>
        <v>0.25</v>
      </c>
      <c r="C122">
        <f>+VLOOKUP(Sheet1!$D141,cond_inter!$A$2:$I$145,4,0)</f>
        <v>3</v>
      </c>
      <c r="D122">
        <f>+VLOOKUP(Sheet1!$D141,cond_inter!$A$2:$I$145,5,0)</f>
        <v>2</v>
      </c>
      <c r="E122">
        <f>+VLOOKUP(C122,Sheet1!$A$2:$B$4,2,0)</f>
        <v>90</v>
      </c>
      <c r="F122">
        <f>+VLOOKUP(D122,Sheet1!$A$2:$B$4,2,0)</f>
        <v>4</v>
      </c>
      <c r="G122" t="str">
        <f>+VLOOKUP(A122,Sheet1!$G$2:$H$4,2,0)</f>
        <v>gold</v>
      </c>
      <c r="H122" t="str">
        <f>+VLOOKUP(B122,Sheet1!$G$2:$H$4,2,0)</f>
        <v>gold</v>
      </c>
      <c r="I122" t="str">
        <f>+VLOOKUP(Sheet1!$D141,cond_inter!$A$2:$I$145,6,0)</f>
        <v>gaze</v>
      </c>
      <c r="J122" t="str">
        <f>+VLOOKUP(Sheet1!$D141,cond_inter!$A$2:$I$145,7,0)</f>
        <v>stim/eyes.png</v>
      </c>
      <c r="K122" t="str">
        <f>+VLOOKUP(Sheet1!$D141,cond_inter!$A$2:$I$145,8,0)</f>
        <v>money</v>
      </c>
      <c r="L122">
        <f>+VLOOKUP(Sheet1!$D141,cond_inter!$A$2:$I$145,9,0)</f>
        <v>40</v>
      </c>
    </row>
    <row r="123" spans="1:12" x14ac:dyDescent="0.3">
      <c r="A123">
        <f>+VLOOKUP(Sheet1!$D142,cond_inter!$A$2:$I$145,2,0)</f>
        <v>0.75</v>
      </c>
      <c r="B123">
        <f>+VLOOKUP(Sheet1!$D142,cond_inter!$A$2:$I$145,3,0)</f>
        <v>0.5</v>
      </c>
      <c r="C123">
        <f>+VLOOKUP(Sheet1!$D142,cond_inter!$A$2:$I$145,4,0)</f>
        <v>3</v>
      </c>
      <c r="D123">
        <f>+VLOOKUP(Sheet1!$D142,cond_inter!$A$2:$I$145,5,0)</f>
        <v>1</v>
      </c>
      <c r="E123">
        <f>+VLOOKUP(C123,Sheet1!$A$2:$B$4,2,0)</f>
        <v>90</v>
      </c>
      <c r="F123">
        <f>+VLOOKUP(D123,Sheet1!$A$2:$B$4,2,0)</f>
        <v>3</v>
      </c>
      <c r="G123" t="str">
        <f>+VLOOKUP(A123,Sheet1!$G$2:$H$4,2,0)</f>
        <v>Fuchsia</v>
      </c>
      <c r="H123" t="str">
        <f>+VLOOKUP(B123,Sheet1!$G$2:$H$4,2,0)</f>
        <v>DeepSkyBlue</v>
      </c>
      <c r="I123" t="str">
        <f>+VLOOKUP(Sheet1!$D142,cond_inter!$A$2:$I$145,6,0)</f>
        <v>button</v>
      </c>
      <c r="J123" t="str">
        <f>+VLOOKUP(Sheet1!$D142,cond_inter!$A$2:$I$145,7,0)</f>
        <v>stim/button_press.png</v>
      </c>
      <c r="K123" t="str">
        <f>+VLOOKUP(Sheet1!$D142,cond_inter!$A$2:$I$145,8,0)</f>
        <v>money</v>
      </c>
      <c r="L123">
        <f>+VLOOKUP(Sheet1!$D142,cond_inter!$A$2:$I$145,9,0)</f>
        <v>113</v>
      </c>
    </row>
    <row r="124" spans="1:12" x14ac:dyDescent="0.3">
      <c r="A124">
        <f>+VLOOKUP(Sheet1!$D143,cond_inter!$A$2:$I$145,2,0)</f>
        <v>0.25</v>
      </c>
      <c r="B124">
        <f>+VLOOKUP(Sheet1!$D143,cond_inter!$A$2:$I$145,3,0)</f>
        <v>0.75</v>
      </c>
      <c r="C124">
        <f>+VLOOKUP(Sheet1!$D143,cond_inter!$A$2:$I$145,4,0)</f>
        <v>2</v>
      </c>
      <c r="D124">
        <f>+VLOOKUP(Sheet1!$D143,cond_inter!$A$2:$I$145,5,0)</f>
        <v>3</v>
      </c>
      <c r="E124">
        <f>+VLOOKUP(C124,Sheet1!$A$2:$B$4,2,0)</f>
        <v>4</v>
      </c>
      <c r="F124">
        <f>+VLOOKUP(D124,Sheet1!$A$2:$B$4,2,0)</f>
        <v>90</v>
      </c>
      <c r="G124" t="str">
        <f>+VLOOKUP(A124,Sheet1!$G$2:$H$4,2,0)</f>
        <v>gold</v>
      </c>
      <c r="H124" t="str">
        <f>+VLOOKUP(B124,Sheet1!$G$2:$H$4,2,0)</f>
        <v>Fuchsia</v>
      </c>
      <c r="I124" t="str">
        <f>+VLOOKUP(Sheet1!$D143,cond_inter!$A$2:$I$145,6,0)</f>
        <v>button</v>
      </c>
      <c r="J124" t="str">
        <f>+VLOOKUP(Sheet1!$D143,cond_inter!$A$2:$I$145,7,0)</f>
        <v>stim/button_press.png</v>
      </c>
      <c r="K124" t="str">
        <f>+VLOOKUP(Sheet1!$D143,cond_inter!$A$2:$I$145,8,0)</f>
        <v>money</v>
      </c>
      <c r="L124">
        <f>+VLOOKUP(Sheet1!$D143,cond_inter!$A$2:$I$145,9,0)</f>
        <v>19</v>
      </c>
    </row>
    <row r="125" spans="1:12" x14ac:dyDescent="0.3">
      <c r="A125">
        <f>+VLOOKUP(Sheet1!$D144,cond_inter!$A$2:$I$145,2,0)</f>
        <v>0.75</v>
      </c>
      <c r="B125">
        <f>+VLOOKUP(Sheet1!$D144,cond_inter!$A$2:$I$145,3,0)</f>
        <v>0.25</v>
      </c>
      <c r="C125">
        <f>+VLOOKUP(Sheet1!$D144,cond_inter!$A$2:$I$145,4,0)</f>
        <v>2</v>
      </c>
      <c r="D125">
        <f>+VLOOKUP(Sheet1!$D144,cond_inter!$A$2:$I$145,5,0)</f>
        <v>3</v>
      </c>
      <c r="E125">
        <f>+VLOOKUP(C125,Sheet1!$A$2:$B$4,2,0)</f>
        <v>4</v>
      </c>
      <c r="F125">
        <f>+VLOOKUP(D125,Sheet1!$A$2:$B$4,2,0)</f>
        <v>90</v>
      </c>
      <c r="G125" t="str">
        <f>+VLOOKUP(A125,Sheet1!$G$2:$H$4,2,0)</f>
        <v>Fuchsia</v>
      </c>
      <c r="H125" t="str">
        <f>+VLOOKUP(B125,Sheet1!$G$2:$H$4,2,0)</f>
        <v>gold</v>
      </c>
      <c r="I125" t="str">
        <f>+VLOOKUP(Sheet1!$D144,cond_inter!$A$2:$I$145,6,0)</f>
        <v>button</v>
      </c>
      <c r="J125" t="str">
        <f>+VLOOKUP(Sheet1!$D144,cond_inter!$A$2:$I$145,7,0)</f>
        <v>stim/button_press.png</v>
      </c>
      <c r="K125" t="str">
        <f>+VLOOKUP(Sheet1!$D144,cond_inter!$A$2:$I$145,8,0)</f>
        <v>money</v>
      </c>
      <c r="L125">
        <f>+VLOOKUP(Sheet1!$D144,cond_inter!$A$2:$I$145,9,0)</f>
        <v>110</v>
      </c>
    </row>
    <row r="126" spans="1:12" x14ac:dyDescent="0.3">
      <c r="A126">
        <f>+VLOOKUP(Sheet1!$D145,cond_inter!$A$2:$I$145,2,0)</f>
        <v>0.25</v>
      </c>
      <c r="B126">
        <f>+VLOOKUP(Sheet1!$D145,cond_inter!$A$2:$I$145,3,0)</f>
        <v>0.25</v>
      </c>
      <c r="C126">
        <f>+VLOOKUP(Sheet1!$D145,cond_inter!$A$2:$I$145,4,0)</f>
        <v>2</v>
      </c>
      <c r="D126">
        <f>+VLOOKUP(Sheet1!$D145,cond_inter!$A$2:$I$145,5,0)</f>
        <v>1</v>
      </c>
      <c r="E126">
        <f>+VLOOKUP(C126,Sheet1!$A$2:$B$4,2,0)</f>
        <v>4</v>
      </c>
      <c r="F126">
        <f>+VLOOKUP(D126,Sheet1!$A$2:$B$4,2,0)</f>
        <v>3</v>
      </c>
      <c r="G126" t="str">
        <f>+VLOOKUP(A126,Sheet1!$G$2:$H$4,2,0)</f>
        <v>gold</v>
      </c>
      <c r="H126" t="str">
        <f>+VLOOKUP(B126,Sheet1!$G$2:$H$4,2,0)</f>
        <v>gold</v>
      </c>
      <c r="I126" t="str">
        <f>+VLOOKUP(Sheet1!$D145,cond_inter!$A$2:$I$145,6,0)</f>
        <v>button</v>
      </c>
      <c r="J126" t="str">
        <f>+VLOOKUP(Sheet1!$D145,cond_inter!$A$2:$I$145,7,0)</f>
        <v>stim/button_press.png</v>
      </c>
      <c r="K126" t="str">
        <f>+VLOOKUP(Sheet1!$D145,cond_inter!$A$2:$I$145,8,0)</f>
        <v>money</v>
      </c>
      <c r="L126">
        <f>+VLOOKUP(Sheet1!$D145,cond_inter!$A$2:$I$145,9,0)</f>
        <v>0</v>
      </c>
    </row>
    <row r="127" spans="1:12" x14ac:dyDescent="0.3">
      <c r="A127">
        <f>+VLOOKUP(Sheet1!$D146,cond_inter!$A$2:$I$145,2,0)</f>
        <v>0.25</v>
      </c>
      <c r="B127">
        <f>+VLOOKUP(Sheet1!$D146,cond_inter!$A$2:$I$145,3,0)</f>
        <v>0.5</v>
      </c>
      <c r="C127">
        <f>+VLOOKUP(Sheet1!$D146,cond_inter!$A$2:$I$145,4,0)</f>
        <v>1</v>
      </c>
      <c r="D127">
        <f>+VLOOKUP(Sheet1!$D146,cond_inter!$A$2:$I$145,5,0)</f>
        <v>2</v>
      </c>
      <c r="E127">
        <f>+VLOOKUP(C127,Sheet1!$A$2:$B$4,2,0)</f>
        <v>3</v>
      </c>
      <c r="F127">
        <f>+VLOOKUP(D127,Sheet1!$A$2:$B$4,2,0)</f>
        <v>4</v>
      </c>
      <c r="G127" t="str">
        <f>+VLOOKUP(A127,Sheet1!$G$2:$H$4,2,0)</f>
        <v>gold</v>
      </c>
      <c r="H127" t="str">
        <f>+VLOOKUP(B127,Sheet1!$G$2:$H$4,2,0)</f>
        <v>DeepSkyBlue</v>
      </c>
      <c r="I127" t="str">
        <f>+VLOOKUP(Sheet1!$D146,cond_inter!$A$2:$I$145,6,0)</f>
        <v>button</v>
      </c>
      <c r="J127" t="str">
        <f>+VLOOKUP(Sheet1!$D146,cond_inter!$A$2:$I$145,7,0)</f>
        <v>stim/button_press.png</v>
      </c>
      <c r="K127" t="str">
        <f>+VLOOKUP(Sheet1!$D146,cond_inter!$A$2:$I$145,8,0)</f>
        <v>money</v>
      </c>
      <c r="L127">
        <f>+VLOOKUP(Sheet1!$D146,cond_inter!$A$2:$I$145,9,0)</f>
        <v>1</v>
      </c>
    </row>
    <row r="128" spans="1:12" x14ac:dyDescent="0.3">
      <c r="A128">
        <f>+VLOOKUP(Sheet1!$D147,cond_inter!$A$2:$I$145,2,0)</f>
        <v>0.75</v>
      </c>
      <c r="B128">
        <f>+VLOOKUP(Sheet1!$D147,cond_inter!$A$2:$I$145,3,0)</f>
        <v>0.75</v>
      </c>
      <c r="C128">
        <f>+VLOOKUP(Sheet1!$D147,cond_inter!$A$2:$I$145,4,0)</f>
        <v>2</v>
      </c>
      <c r="D128">
        <f>+VLOOKUP(Sheet1!$D147,cond_inter!$A$2:$I$145,5,0)</f>
        <v>3</v>
      </c>
      <c r="E128">
        <f>+VLOOKUP(C128,Sheet1!$A$2:$B$4,2,0)</f>
        <v>4</v>
      </c>
      <c r="F128">
        <f>+VLOOKUP(D128,Sheet1!$A$2:$B$4,2,0)</f>
        <v>90</v>
      </c>
      <c r="G128" t="str">
        <f>+VLOOKUP(A128,Sheet1!$G$2:$H$4,2,0)</f>
        <v>Fuchsia</v>
      </c>
      <c r="H128" t="str">
        <f>+VLOOKUP(B128,Sheet1!$G$2:$H$4,2,0)</f>
        <v>Fuchsia</v>
      </c>
      <c r="I128" t="str">
        <f>+VLOOKUP(Sheet1!$D147,cond_inter!$A$2:$I$145,6,0)</f>
        <v>gaze</v>
      </c>
      <c r="J128" t="str">
        <f>+VLOOKUP(Sheet1!$D147,cond_inter!$A$2:$I$145,7,0)</f>
        <v>stim/eyes.png</v>
      </c>
      <c r="K128" t="str">
        <f>+VLOOKUP(Sheet1!$D147,cond_inter!$A$2:$I$145,8,0)</f>
        <v>money</v>
      </c>
      <c r="L128">
        <f>+VLOOKUP(Sheet1!$D147,cond_inter!$A$2:$I$145,9,0)</f>
        <v>140</v>
      </c>
    </row>
    <row r="129" spans="1:12" x14ac:dyDescent="0.3">
      <c r="A129">
        <f>+VLOOKUP(Sheet1!$D148,cond_inter!$A$2:$I$145,2,0)</f>
        <v>0.75</v>
      </c>
      <c r="B129">
        <f>+VLOOKUP(Sheet1!$D148,cond_inter!$A$2:$I$145,3,0)</f>
        <v>0.25</v>
      </c>
      <c r="C129">
        <f>+VLOOKUP(Sheet1!$D148,cond_inter!$A$2:$I$145,4,0)</f>
        <v>2</v>
      </c>
      <c r="D129">
        <f>+VLOOKUP(Sheet1!$D148,cond_inter!$A$2:$I$145,5,0)</f>
        <v>3</v>
      </c>
      <c r="E129">
        <f>+VLOOKUP(C129,Sheet1!$A$2:$B$4,2,0)</f>
        <v>4</v>
      </c>
      <c r="F129">
        <f>+VLOOKUP(D129,Sheet1!$A$2:$B$4,2,0)</f>
        <v>90</v>
      </c>
      <c r="G129" t="str">
        <f>+VLOOKUP(A129,Sheet1!$G$2:$H$4,2,0)</f>
        <v>Fuchsia</v>
      </c>
      <c r="H129" t="str">
        <f>+VLOOKUP(B129,Sheet1!$G$2:$H$4,2,0)</f>
        <v>gold</v>
      </c>
      <c r="I129" t="str">
        <f>+VLOOKUP(Sheet1!$D148,cond_inter!$A$2:$I$145,6,0)</f>
        <v>gaze</v>
      </c>
      <c r="J129" t="str">
        <f>+VLOOKUP(Sheet1!$D148,cond_inter!$A$2:$I$145,7,0)</f>
        <v>stim/eyes.png</v>
      </c>
      <c r="K129" t="str">
        <f>+VLOOKUP(Sheet1!$D148,cond_inter!$A$2:$I$145,8,0)</f>
        <v>money</v>
      </c>
      <c r="L129">
        <f>+VLOOKUP(Sheet1!$D148,cond_inter!$A$2:$I$145,9,0)</f>
        <v>137</v>
      </c>
    </row>
    <row r="130" spans="1:12" x14ac:dyDescent="0.3">
      <c r="A130">
        <f>+VLOOKUP(Sheet1!$D149,cond_inter!$A$2:$I$145,2,0)</f>
        <v>0.75</v>
      </c>
      <c r="B130">
        <f>+VLOOKUP(Sheet1!$D149,cond_inter!$A$2:$I$145,3,0)</f>
        <v>0.25</v>
      </c>
      <c r="C130">
        <f>+VLOOKUP(Sheet1!$D149,cond_inter!$A$2:$I$145,4,0)</f>
        <v>3</v>
      </c>
      <c r="D130">
        <f>+VLOOKUP(Sheet1!$D149,cond_inter!$A$2:$I$145,5,0)</f>
        <v>2</v>
      </c>
      <c r="E130">
        <f>+VLOOKUP(C130,Sheet1!$A$2:$B$4,2,0)</f>
        <v>90</v>
      </c>
      <c r="F130">
        <f>+VLOOKUP(D130,Sheet1!$A$2:$B$4,2,0)</f>
        <v>4</v>
      </c>
      <c r="G130" t="str">
        <f>+VLOOKUP(A130,Sheet1!$G$2:$H$4,2,0)</f>
        <v>Fuchsia</v>
      </c>
      <c r="H130" t="str">
        <f>+VLOOKUP(B130,Sheet1!$G$2:$H$4,2,0)</f>
        <v>gold</v>
      </c>
      <c r="I130" t="str">
        <f>+VLOOKUP(Sheet1!$D149,cond_inter!$A$2:$I$145,6,0)</f>
        <v>gaze</v>
      </c>
      <c r="J130" t="str">
        <f>+VLOOKUP(Sheet1!$D149,cond_inter!$A$2:$I$145,7,0)</f>
        <v>stim/eyes.png</v>
      </c>
      <c r="K130" t="str">
        <f>+VLOOKUP(Sheet1!$D149,cond_inter!$A$2:$I$145,8,0)</f>
        <v>money</v>
      </c>
      <c r="L130">
        <f>+VLOOKUP(Sheet1!$D149,cond_inter!$A$2:$I$145,9,0)</f>
        <v>130</v>
      </c>
    </row>
    <row r="131" spans="1:12" x14ac:dyDescent="0.3">
      <c r="A131">
        <f>+VLOOKUP(Sheet1!$D150,cond_inter!$A$2:$I$145,2,0)</f>
        <v>0.25</v>
      </c>
      <c r="B131">
        <f>+VLOOKUP(Sheet1!$D150,cond_inter!$A$2:$I$145,3,0)</f>
        <v>0.25</v>
      </c>
      <c r="C131">
        <f>+VLOOKUP(Sheet1!$D150,cond_inter!$A$2:$I$145,4,0)</f>
        <v>3</v>
      </c>
      <c r="D131">
        <f>+VLOOKUP(Sheet1!$D150,cond_inter!$A$2:$I$145,5,0)</f>
        <v>1</v>
      </c>
      <c r="E131">
        <f>+VLOOKUP(C131,Sheet1!$A$2:$B$4,2,0)</f>
        <v>90</v>
      </c>
      <c r="F131">
        <f>+VLOOKUP(D131,Sheet1!$A$2:$B$4,2,0)</f>
        <v>3</v>
      </c>
      <c r="G131" t="str">
        <f>+VLOOKUP(A131,Sheet1!$G$2:$H$4,2,0)</f>
        <v>gold</v>
      </c>
      <c r="H131" t="str">
        <f>+VLOOKUP(B131,Sheet1!$G$2:$H$4,2,0)</f>
        <v>gold</v>
      </c>
      <c r="I131" t="str">
        <f>+VLOOKUP(Sheet1!$D150,cond_inter!$A$2:$I$145,6,0)</f>
        <v>gaze</v>
      </c>
      <c r="J131" t="str">
        <f>+VLOOKUP(Sheet1!$D150,cond_inter!$A$2:$I$145,7,0)</f>
        <v>stim/eyes.png</v>
      </c>
      <c r="K131" t="str">
        <f>+VLOOKUP(Sheet1!$D150,cond_inter!$A$2:$I$145,8,0)</f>
        <v>money</v>
      </c>
      <c r="L131">
        <f>+VLOOKUP(Sheet1!$D150,cond_inter!$A$2:$I$145,9,0)</f>
        <v>26</v>
      </c>
    </row>
    <row r="132" spans="1:12" x14ac:dyDescent="0.3">
      <c r="A132">
        <f>+VLOOKUP(Sheet1!$D151,cond_inter!$A$2:$I$145,2,0)</f>
        <v>0.5</v>
      </c>
      <c r="B132">
        <f>+VLOOKUP(Sheet1!$D151,cond_inter!$A$2:$I$145,3,0)</f>
        <v>0.25</v>
      </c>
      <c r="C132">
        <f>+VLOOKUP(Sheet1!$D151,cond_inter!$A$2:$I$145,4,0)</f>
        <v>2</v>
      </c>
      <c r="D132">
        <f>+VLOOKUP(Sheet1!$D151,cond_inter!$A$2:$I$145,5,0)</f>
        <v>3</v>
      </c>
      <c r="E132">
        <f>+VLOOKUP(C132,Sheet1!$A$2:$B$4,2,0)</f>
        <v>4</v>
      </c>
      <c r="F132">
        <f>+VLOOKUP(D132,Sheet1!$A$2:$B$4,2,0)</f>
        <v>90</v>
      </c>
      <c r="G132" t="str">
        <f>+VLOOKUP(A132,Sheet1!$G$2:$H$4,2,0)</f>
        <v>DeepSkyBlue</v>
      </c>
      <c r="H132" t="str">
        <f>+VLOOKUP(B132,Sheet1!$G$2:$H$4,2,0)</f>
        <v>gold</v>
      </c>
      <c r="I132" t="str">
        <f>+VLOOKUP(Sheet1!$D151,cond_inter!$A$2:$I$145,6,0)</f>
        <v>button</v>
      </c>
      <c r="J132" t="str">
        <f>+VLOOKUP(Sheet1!$D151,cond_inter!$A$2:$I$145,7,0)</f>
        <v>stim/button_press.png</v>
      </c>
      <c r="K132" t="str">
        <f>+VLOOKUP(Sheet1!$D151,cond_inter!$A$2:$I$145,8,0)</f>
        <v>money</v>
      </c>
      <c r="L132">
        <f>+VLOOKUP(Sheet1!$D151,cond_inter!$A$2:$I$145,9,0)</f>
        <v>63</v>
      </c>
    </row>
    <row r="133" spans="1:12" x14ac:dyDescent="0.3">
      <c r="A133">
        <f>+VLOOKUP(Sheet1!$D152,cond_inter!$A$2:$I$145,2,0)</f>
        <v>0.75</v>
      </c>
      <c r="B133">
        <f>+VLOOKUP(Sheet1!$D152,cond_inter!$A$2:$I$145,3,0)</f>
        <v>0.5</v>
      </c>
      <c r="C133">
        <f>+VLOOKUP(Sheet1!$D152,cond_inter!$A$2:$I$145,4,0)</f>
        <v>1</v>
      </c>
      <c r="D133">
        <f>+VLOOKUP(Sheet1!$D152,cond_inter!$A$2:$I$145,5,0)</f>
        <v>3</v>
      </c>
      <c r="E133">
        <f>+VLOOKUP(C133,Sheet1!$A$2:$B$4,2,0)</f>
        <v>3</v>
      </c>
      <c r="F133">
        <f>+VLOOKUP(D133,Sheet1!$A$2:$B$4,2,0)</f>
        <v>90</v>
      </c>
      <c r="G133" t="str">
        <f>+VLOOKUP(A133,Sheet1!$G$2:$H$4,2,0)</f>
        <v>Fuchsia</v>
      </c>
      <c r="H133" t="str">
        <f>+VLOOKUP(B133,Sheet1!$G$2:$H$4,2,0)</f>
        <v>DeepSkyBlue</v>
      </c>
      <c r="I133" t="str">
        <f>+VLOOKUP(Sheet1!$D152,cond_inter!$A$2:$I$145,6,0)</f>
        <v>button</v>
      </c>
      <c r="J133" t="str">
        <f>+VLOOKUP(Sheet1!$D152,cond_inter!$A$2:$I$145,7,0)</f>
        <v>stim/button_press.png</v>
      </c>
      <c r="K133" t="str">
        <f>+VLOOKUP(Sheet1!$D152,cond_inter!$A$2:$I$145,8,0)</f>
        <v>money</v>
      </c>
      <c r="L133">
        <f>+VLOOKUP(Sheet1!$D152,cond_inter!$A$2:$I$145,9,0)</f>
        <v>97</v>
      </c>
    </row>
    <row r="134" spans="1:12" x14ac:dyDescent="0.3">
      <c r="A134">
        <f>+VLOOKUP(Sheet1!$D153,cond_inter!$A$2:$I$145,2,0)</f>
        <v>0.75</v>
      </c>
      <c r="B134">
        <f>+VLOOKUP(Sheet1!$D153,cond_inter!$A$2:$I$145,3,0)</f>
        <v>0.5</v>
      </c>
      <c r="C134">
        <f>+VLOOKUP(Sheet1!$D153,cond_inter!$A$2:$I$145,4,0)</f>
        <v>1</v>
      </c>
      <c r="D134">
        <f>+VLOOKUP(Sheet1!$D153,cond_inter!$A$2:$I$145,5,0)</f>
        <v>1</v>
      </c>
      <c r="E134">
        <f>+VLOOKUP(C134,Sheet1!$A$2:$B$4,2,0)</f>
        <v>3</v>
      </c>
      <c r="F134">
        <f>+VLOOKUP(D134,Sheet1!$A$2:$B$4,2,0)</f>
        <v>3</v>
      </c>
      <c r="G134" t="str">
        <f>+VLOOKUP(A134,Sheet1!$G$2:$H$4,2,0)</f>
        <v>Fuchsia</v>
      </c>
      <c r="H134" t="str">
        <f>+VLOOKUP(B134,Sheet1!$G$2:$H$4,2,0)</f>
        <v>DeepSkyBlue</v>
      </c>
      <c r="I134" t="str">
        <f>+VLOOKUP(Sheet1!$D153,cond_inter!$A$2:$I$145,6,0)</f>
        <v>button</v>
      </c>
      <c r="J134" t="str">
        <f>+VLOOKUP(Sheet1!$D153,cond_inter!$A$2:$I$145,7,0)</f>
        <v>stim/button_press.png</v>
      </c>
      <c r="K134" t="str">
        <f>+VLOOKUP(Sheet1!$D153,cond_inter!$A$2:$I$145,8,0)</f>
        <v>money</v>
      </c>
      <c r="L134">
        <f>+VLOOKUP(Sheet1!$D153,cond_inter!$A$2:$I$145,9,0)</f>
        <v>114</v>
      </c>
    </row>
    <row r="135" spans="1:12" x14ac:dyDescent="0.3">
      <c r="A135">
        <f>+VLOOKUP(Sheet1!$D154,cond_inter!$A$2:$I$145,2,0)</f>
        <v>0.5</v>
      </c>
      <c r="B135">
        <f>+VLOOKUP(Sheet1!$D154,cond_inter!$A$2:$I$145,3,0)</f>
        <v>0.75</v>
      </c>
      <c r="C135">
        <f>+VLOOKUP(Sheet1!$D154,cond_inter!$A$2:$I$145,4,0)</f>
        <v>1</v>
      </c>
      <c r="D135">
        <f>+VLOOKUP(Sheet1!$D154,cond_inter!$A$2:$I$145,5,0)</f>
        <v>3</v>
      </c>
      <c r="E135">
        <f>+VLOOKUP(C135,Sheet1!$A$2:$B$4,2,0)</f>
        <v>3</v>
      </c>
      <c r="F135">
        <f>+VLOOKUP(D135,Sheet1!$A$2:$B$4,2,0)</f>
        <v>90</v>
      </c>
      <c r="G135" t="str">
        <f>+VLOOKUP(A135,Sheet1!$G$2:$H$4,2,0)</f>
        <v>DeepSkyBlue</v>
      </c>
      <c r="H135" t="str">
        <f>+VLOOKUP(B135,Sheet1!$G$2:$H$4,2,0)</f>
        <v>Fuchsia</v>
      </c>
      <c r="I135" t="str">
        <f>+VLOOKUP(Sheet1!$D154,cond_inter!$A$2:$I$145,6,0)</f>
        <v>button</v>
      </c>
      <c r="J135" t="str">
        <f>+VLOOKUP(Sheet1!$D154,cond_inter!$A$2:$I$145,7,0)</f>
        <v>stim/button_press.png</v>
      </c>
      <c r="K135" t="str">
        <f>+VLOOKUP(Sheet1!$D154,cond_inter!$A$2:$I$145,8,0)</f>
        <v>money</v>
      </c>
      <c r="L135">
        <f>+VLOOKUP(Sheet1!$D154,cond_inter!$A$2:$I$145,9,0)</f>
        <v>59</v>
      </c>
    </row>
    <row r="136" spans="1:12" x14ac:dyDescent="0.3">
      <c r="A136">
        <f>+VLOOKUP(Sheet1!$D155,cond_inter!$A$2:$I$145,2,0)</f>
        <v>0.25</v>
      </c>
      <c r="B136">
        <f>+VLOOKUP(Sheet1!$D155,cond_inter!$A$2:$I$145,3,0)</f>
        <v>0.75</v>
      </c>
      <c r="C136">
        <f>+VLOOKUP(Sheet1!$D155,cond_inter!$A$2:$I$145,4,0)</f>
        <v>3</v>
      </c>
      <c r="D136">
        <f>+VLOOKUP(Sheet1!$D155,cond_inter!$A$2:$I$145,5,0)</f>
        <v>1</v>
      </c>
      <c r="E136">
        <f>+VLOOKUP(C136,Sheet1!$A$2:$B$4,2,0)</f>
        <v>90</v>
      </c>
      <c r="F136">
        <f>+VLOOKUP(D136,Sheet1!$A$2:$B$4,2,0)</f>
        <v>3</v>
      </c>
      <c r="G136" t="str">
        <f>+VLOOKUP(A136,Sheet1!$G$2:$H$4,2,0)</f>
        <v>gold</v>
      </c>
      <c r="H136" t="str">
        <f>+VLOOKUP(B136,Sheet1!$G$2:$H$4,2,0)</f>
        <v>Fuchsia</v>
      </c>
      <c r="I136" t="str">
        <f>+VLOOKUP(Sheet1!$D155,cond_inter!$A$2:$I$145,6,0)</f>
        <v>gaze</v>
      </c>
      <c r="J136" t="str">
        <f>+VLOOKUP(Sheet1!$D155,cond_inter!$A$2:$I$145,7,0)</f>
        <v>stim/eyes.png</v>
      </c>
      <c r="K136" t="str">
        <f>+VLOOKUP(Sheet1!$D155,cond_inter!$A$2:$I$145,8,0)</f>
        <v>money</v>
      </c>
      <c r="L136">
        <f>+VLOOKUP(Sheet1!$D155,cond_inter!$A$2:$I$145,9,0)</f>
        <v>27</v>
      </c>
    </row>
    <row r="137" spans="1:12" x14ac:dyDescent="0.3">
      <c r="A137">
        <f>+VLOOKUP(Sheet1!$D156,cond_inter!$A$2:$I$145,2,0)</f>
        <v>0.25</v>
      </c>
      <c r="B137">
        <f>+VLOOKUP(Sheet1!$D156,cond_inter!$A$2:$I$145,3,0)</f>
        <v>0.5</v>
      </c>
      <c r="C137">
        <f>+VLOOKUP(Sheet1!$D156,cond_inter!$A$2:$I$145,4,0)</f>
        <v>1</v>
      </c>
      <c r="D137">
        <f>+VLOOKUP(Sheet1!$D156,cond_inter!$A$2:$I$145,5,0)</f>
        <v>1</v>
      </c>
      <c r="E137">
        <f>+VLOOKUP(C137,Sheet1!$A$2:$B$4,2,0)</f>
        <v>3</v>
      </c>
      <c r="F137">
        <f>+VLOOKUP(D137,Sheet1!$A$2:$B$4,2,0)</f>
        <v>3</v>
      </c>
      <c r="G137" t="str">
        <f>+VLOOKUP(A137,Sheet1!$G$2:$H$4,2,0)</f>
        <v>gold</v>
      </c>
      <c r="H137" t="str">
        <f>+VLOOKUP(B137,Sheet1!$G$2:$H$4,2,0)</f>
        <v>DeepSkyBlue</v>
      </c>
      <c r="I137" t="str">
        <f>+VLOOKUP(Sheet1!$D156,cond_inter!$A$2:$I$145,6,0)</f>
        <v>button</v>
      </c>
      <c r="J137" t="str">
        <f>+VLOOKUP(Sheet1!$D156,cond_inter!$A$2:$I$145,7,0)</f>
        <v>stim/button_press.png</v>
      </c>
      <c r="K137" t="str">
        <f>+VLOOKUP(Sheet1!$D156,cond_inter!$A$2:$I$145,8,0)</f>
        <v>money</v>
      </c>
      <c r="L137">
        <f>+VLOOKUP(Sheet1!$D156,cond_inter!$A$2:$I$145,9,0)</f>
        <v>21</v>
      </c>
    </row>
    <row r="138" spans="1:12" x14ac:dyDescent="0.3">
      <c r="A138">
        <f>+VLOOKUP(Sheet1!$D157,cond_inter!$A$2:$I$145,2,0)</f>
        <v>0.25</v>
      </c>
      <c r="B138">
        <f>+VLOOKUP(Sheet1!$D157,cond_inter!$A$2:$I$145,3,0)</f>
        <v>0.5</v>
      </c>
      <c r="C138">
        <f>+VLOOKUP(Sheet1!$D157,cond_inter!$A$2:$I$145,4,0)</f>
        <v>1</v>
      </c>
      <c r="D138">
        <f>+VLOOKUP(Sheet1!$D157,cond_inter!$A$2:$I$145,5,0)</f>
        <v>3</v>
      </c>
      <c r="E138">
        <f>+VLOOKUP(C138,Sheet1!$A$2:$B$4,2,0)</f>
        <v>3</v>
      </c>
      <c r="F138">
        <f>+VLOOKUP(D138,Sheet1!$A$2:$B$4,2,0)</f>
        <v>90</v>
      </c>
      <c r="G138" t="str">
        <f>+VLOOKUP(A138,Sheet1!$G$2:$H$4,2,0)</f>
        <v>gold</v>
      </c>
      <c r="H138" t="str">
        <f>+VLOOKUP(B138,Sheet1!$G$2:$H$4,2,0)</f>
        <v>DeepSkyBlue</v>
      </c>
      <c r="I138" t="str">
        <f>+VLOOKUP(Sheet1!$D157,cond_inter!$A$2:$I$145,6,0)</f>
        <v>gaze</v>
      </c>
      <c r="J138" t="str">
        <f>+VLOOKUP(Sheet1!$D157,cond_inter!$A$2:$I$145,7,0)</f>
        <v>stim/eyes.png</v>
      </c>
      <c r="K138" t="str">
        <f>+VLOOKUP(Sheet1!$D157,cond_inter!$A$2:$I$145,8,0)</f>
        <v>money</v>
      </c>
      <c r="L138">
        <f>+VLOOKUP(Sheet1!$D157,cond_inter!$A$2:$I$145,9,0)</f>
        <v>35</v>
      </c>
    </row>
    <row r="139" spans="1:12" x14ac:dyDescent="0.3">
      <c r="A139">
        <f>+VLOOKUP(Sheet1!$D158,cond_inter!$A$2:$I$145,2,0)</f>
        <v>0.25</v>
      </c>
      <c r="B139">
        <f>+VLOOKUP(Sheet1!$D158,cond_inter!$A$2:$I$145,3,0)</f>
        <v>0.5</v>
      </c>
      <c r="C139">
        <f>+VLOOKUP(Sheet1!$D158,cond_inter!$A$2:$I$145,4,0)</f>
        <v>3</v>
      </c>
      <c r="D139">
        <f>+VLOOKUP(Sheet1!$D158,cond_inter!$A$2:$I$145,5,0)</f>
        <v>2</v>
      </c>
      <c r="E139">
        <f>+VLOOKUP(C139,Sheet1!$A$2:$B$4,2,0)</f>
        <v>90</v>
      </c>
      <c r="F139">
        <f>+VLOOKUP(D139,Sheet1!$A$2:$B$4,2,0)</f>
        <v>4</v>
      </c>
      <c r="G139" t="str">
        <f>+VLOOKUP(A139,Sheet1!$G$2:$H$4,2,0)</f>
        <v>gold</v>
      </c>
      <c r="H139" t="str">
        <f>+VLOOKUP(B139,Sheet1!$G$2:$H$4,2,0)</f>
        <v>DeepSkyBlue</v>
      </c>
      <c r="I139" t="str">
        <f>+VLOOKUP(Sheet1!$D158,cond_inter!$A$2:$I$145,6,0)</f>
        <v>button</v>
      </c>
      <c r="J139" t="str">
        <f>+VLOOKUP(Sheet1!$D158,cond_inter!$A$2:$I$145,7,0)</f>
        <v>stim/button_press.png</v>
      </c>
      <c r="K139" t="str">
        <f>+VLOOKUP(Sheet1!$D158,cond_inter!$A$2:$I$145,8,0)</f>
        <v>money</v>
      </c>
      <c r="L139">
        <f>+VLOOKUP(Sheet1!$D158,cond_inter!$A$2:$I$145,9,0)</f>
        <v>4</v>
      </c>
    </row>
    <row r="140" spans="1:12" x14ac:dyDescent="0.3">
      <c r="A140">
        <f>+VLOOKUP(Sheet1!$D159,cond_inter!$A$2:$I$145,2,0)</f>
        <v>0.25</v>
      </c>
      <c r="B140">
        <f>+VLOOKUP(Sheet1!$D159,cond_inter!$A$2:$I$145,3,0)</f>
        <v>0.75</v>
      </c>
      <c r="C140">
        <f>+VLOOKUP(Sheet1!$D159,cond_inter!$A$2:$I$145,4,0)</f>
        <v>1</v>
      </c>
      <c r="D140">
        <f>+VLOOKUP(Sheet1!$D159,cond_inter!$A$2:$I$145,5,0)</f>
        <v>2</v>
      </c>
      <c r="E140">
        <f>+VLOOKUP(C140,Sheet1!$A$2:$B$4,2,0)</f>
        <v>3</v>
      </c>
      <c r="F140">
        <f>+VLOOKUP(D140,Sheet1!$A$2:$B$4,2,0)</f>
        <v>4</v>
      </c>
      <c r="G140" t="str">
        <f>+VLOOKUP(A140,Sheet1!$G$2:$H$4,2,0)</f>
        <v>gold</v>
      </c>
      <c r="H140" t="str">
        <f>+VLOOKUP(B140,Sheet1!$G$2:$H$4,2,0)</f>
        <v>Fuchsia</v>
      </c>
      <c r="I140" t="str">
        <f>+VLOOKUP(Sheet1!$D159,cond_inter!$A$2:$I$145,6,0)</f>
        <v>button</v>
      </c>
      <c r="J140" t="str">
        <f>+VLOOKUP(Sheet1!$D159,cond_inter!$A$2:$I$145,7,0)</f>
        <v>stim/button_press.png</v>
      </c>
      <c r="K140" t="str">
        <f>+VLOOKUP(Sheet1!$D159,cond_inter!$A$2:$I$145,8,0)</f>
        <v>money</v>
      </c>
      <c r="L140">
        <f>+VLOOKUP(Sheet1!$D159,cond_inter!$A$2:$I$145,9,0)</f>
        <v>11</v>
      </c>
    </row>
    <row r="141" spans="1:12" x14ac:dyDescent="0.3">
      <c r="A141">
        <f>+VLOOKUP(Sheet1!$D160,cond_inter!$A$2:$I$145,2,0)</f>
        <v>0.5</v>
      </c>
      <c r="B141">
        <f>+VLOOKUP(Sheet1!$D160,cond_inter!$A$2:$I$145,3,0)</f>
        <v>0.5</v>
      </c>
      <c r="C141">
        <f>+VLOOKUP(Sheet1!$D160,cond_inter!$A$2:$I$145,4,0)</f>
        <v>2</v>
      </c>
      <c r="D141">
        <f>+VLOOKUP(Sheet1!$D160,cond_inter!$A$2:$I$145,5,0)</f>
        <v>1</v>
      </c>
      <c r="E141">
        <f>+VLOOKUP(C141,Sheet1!$A$2:$B$4,2,0)</f>
        <v>4</v>
      </c>
      <c r="F141">
        <f>+VLOOKUP(D141,Sheet1!$A$2:$B$4,2,0)</f>
        <v>3</v>
      </c>
      <c r="G141" t="str">
        <f>+VLOOKUP(A141,Sheet1!$G$2:$H$4,2,0)</f>
        <v>DeepSkyBlue</v>
      </c>
      <c r="H141" t="str">
        <f>+VLOOKUP(B141,Sheet1!$G$2:$H$4,2,0)</f>
        <v>DeepSkyBlue</v>
      </c>
      <c r="I141" t="str">
        <f>+VLOOKUP(Sheet1!$D160,cond_inter!$A$2:$I$145,6,0)</f>
        <v>gaze</v>
      </c>
      <c r="J141" t="str">
        <f>+VLOOKUP(Sheet1!$D160,cond_inter!$A$2:$I$145,7,0)</f>
        <v>stim/eyes.png</v>
      </c>
      <c r="K141" t="str">
        <f>+VLOOKUP(Sheet1!$D160,cond_inter!$A$2:$I$145,8,0)</f>
        <v>money</v>
      </c>
      <c r="L141">
        <f>+VLOOKUP(Sheet1!$D160,cond_inter!$A$2:$I$145,9,0)</f>
        <v>86</v>
      </c>
    </row>
    <row r="142" spans="1:12" x14ac:dyDescent="0.3">
      <c r="A142">
        <f>+VLOOKUP(Sheet1!$D161,cond_inter!$A$2:$I$145,2,0)</f>
        <v>0.5</v>
      </c>
      <c r="B142">
        <f>+VLOOKUP(Sheet1!$D161,cond_inter!$A$2:$I$145,3,0)</f>
        <v>0.5</v>
      </c>
      <c r="C142">
        <f>+VLOOKUP(Sheet1!$D161,cond_inter!$A$2:$I$145,4,0)</f>
        <v>2</v>
      </c>
      <c r="D142">
        <f>+VLOOKUP(Sheet1!$D161,cond_inter!$A$2:$I$145,5,0)</f>
        <v>1</v>
      </c>
      <c r="E142">
        <f>+VLOOKUP(C142,Sheet1!$A$2:$B$4,2,0)</f>
        <v>4</v>
      </c>
      <c r="F142">
        <f>+VLOOKUP(D142,Sheet1!$A$2:$B$4,2,0)</f>
        <v>3</v>
      </c>
      <c r="G142" t="str">
        <f>+VLOOKUP(A142,Sheet1!$G$2:$H$4,2,0)</f>
        <v>DeepSkyBlue</v>
      </c>
      <c r="H142" t="str">
        <f>+VLOOKUP(B142,Sheet1!$G$2:$H$4,2,0)</f>
        <v>DeepSkyBlue</v>
      </c>
      <c r="I142" t="str">
        <f>+VLOOKUP(Sheet1!$D161,cond_inter!$A$2:$I$145,6,0)</f>
        <v>button</v>
      </c>
      <c r="J142" t="str">
        <f>+VLOOKUP(Sheet1!$D161,cond_inter!$A$2:$I$145,7,0)</f>
        <v>stim/button_press.png</v>
      </c>
      <c r="K142" t="str">
        <f>+VLOOKUP(Sheet1!$D161,cond_inter!$A$2:$I$145,8,0)</f>
        <v>money</v>
      </c>
      <c r="L142">
        <f>+VLOOKUP(Sheet1!$D161,cond_inter!$A$2:$I$145,9,0)</f>
        <v>54</v>
      </c>
    </row>
    <row r="143" spans="1:12" x14ac:dyDescent="0.3">
      <c r="A143">
        <f>+VLOOKUP(Sheet1!$D162,cond_inter!$A$2:$I$145,2,0)</f>
        <v>0.5</v>
      </c>
      <c r="B143">
        <f>+VLOOKUP(Sheet1!$D162,cond_inter!$A$2:$I$145,3,0)</f>
        <v>0.25</v>
      </c>
      <c r="C143">
        <f>+VLOOKUP(Sheet1!$D162,cond_inter!$A$2:$I$145,4,0)</f>
        <v>3</v>
      </c>
      <c r="D143">
        <f>+VLOOKUP(Sheet1!$D162,cond_inter!$A$2:$I$145,5,0)</f>
        <v>1</v>
      </c>
      <c r="E143">
        <f>+VLOOKUP(C143,Sheet1!$A$2:$B$4,2,0)</f>
        <v>90</v>
      </c>
      <c r="F143">
        <f>+VLOOKUP(D143,Sheet1!$A$2:$B$4,2,0)</f>
        <v>3</v>
      </c>
      <c r="G143" t="str">
        <f>+VLOOKUP(A143,Sheet1!$G$2:$H$4,2,0)</f>
        <v>DeepSkyBlue</v>
      </c>
      <c r="H143" t="str">
        <f>+VLOOKUP(B143,Sheet1!$G$2:$H$4,2,0)</f>
        <v>gold</v>
      </c>
      <c r="I143" t="str">
        <f>+VLOOKUP(Sheet1!$D162,cond_inter!$A$2:$I$145,6,0)</f>
        <v>gaze</v>
      </c>
      <c r="J143" t="str">
        <f>+VLOOKUP(Sheet1!$D162,cond_inter!$A$2:$I$145,7,0)</f>
        <v>stim/eyes.png</v>
      </c>
      <c r="K143" t="str">
        <f>+VLOOKUP(Sheet1!$D162,cond_inter!$A$2:$I$145,8,0)</f>
        <v>money</v>
      </c>
      <c r="L143">
        <f>+VLOOKUP(Sheet1!$D162,cond_inter!$A$2:$I$145,9,0)</f>
        <v>79</v>
      </c>
    </row>
    <row r="144" spans="1:12" x14ac:dyDescent="0.3">
      <c r="A144">
        <f>+VLOOKUP(Sheet1!$D163,cond_inter!$A$2:$I$145,2,0)</f>
        <v>0.5</v>
      </c>
      <c r="B144">
        <f>+VLOOKUP(Sheet1!$D163,cond_inter!$A$2:$I$145,3,0)</f>
        <v>0.25</v>
      </c>
      <c r="C144">
        <f>+VLOOKUP(Sheet1!$D163,cond_inter!$A$2:$I$145,4,0)</f>
        <v>3</v>
      </c>
      <c r="D144">
        <f>+VLOOKUP(Sheet1!$D163,cond_inter!$A$2:$I$145,5,0)</f>
        <v>2</v>
      </c>
      <c r="E144">
        <f>+VLOOKUP(C144,Sheet1!$A$2:$B$4,2,0)</f>
        <v>90</v>
      </c>
      <c r="F144">
        <f>+VLOOKUP(D144,Sheet1!$A$2:$B$4,2,0)</f>
        <v>4</v>
      </c>
      <c r="G144" t="str">
        <f>+VLOOKUP(A144,Sheet1!$G$2:$H$4,2,0)</f>
        <v>DeepSkyBlue</v>
      </c>
      <c r="H144" t="str">
        <f>+VLOOKUP(B144,Sheet1!$G$2:$H$4,2,0)</f>
        <v>gold</v>
      </c>
      <c r="I144" t="str">
        <f>+VLOOKUP(Sheet1!$D163,cond_inter!$A$2:$I$145,6,0)</f>
        <v>button</v>
      </c>
      <c r="J144" t="str">
        <f>+VLOOKUP(Sheet1!$D163,cond_inter!$A$2:$I$145,7,0)</f>
        <v>stim/button_press.png</v>
      </c>
      <c r="K144" t="str">
        <f>+VLOOKUP(Sheet1!$D163,cond_inter!$A$2:$I$145,8,0)</f>
        <v>money</v>
      </c>
      <c r="L144">
        <f>+VLOOKUP(Sheet1!$D163,cond_inter!$A$2:$I$145,9,0)</f>
        <v>61</v>
      </c>
    </row>
    <row r="145" spans="1:12" x14ac:dyDescent="0.3">
      <c r="A145">
        <f>+VLOOKUP(Sheet1!$D164,cond_inter!$A$2:$I$145,2,0)</f>
        <v>0.75</v>
      </c>
      <c r="B145">
        <f>+VLOOKUP(Sheet1!$D164,cond_inter!$A$2:$I$145,3,0)</f>
        <v>0.75</v>
      </c>
      <c r="C145">
        <f>+VLOOKUP(Sheet1!$D164,cond_inter!$A$2:$I$145,4,0)</f>
        <v>3</v>
      </c>
      <c r="D145">
        <f>+VLOOKUP(Sheet1!$D164,cond_inter!$A$2:$I$145,5,0)</f>
        <v>2</v>
      </c>
      <c r="E145">
        <f>+VLOOKUP(C145,Sheet1!$A$2:$B$4,2,0)</f>
        <v>90</v>
      </c>
      <c r="F145">
        <f>+VLOOKUP(D145,Sheet1!$A$2:$B$4,2,0)</f>
        <v>4</v>
      </c>
      <c r="G145" t="str">
        <f>+VLOOKUP(A145,Sheet1!$G$2:$H$4,2,0)</f>
        <v>Fuchsia</v>
      </c>
      <c r="H145" t="str">
        <f>+VLOOKUP(B145,Sheet1!$G$2:$H$4,2,0)</f>
        <v>Fuchsia</v>
      </c>
      <c r="I145" t="str">
        <f>+VLOOKUP(Sheet1!$D164,cond_inter!$A$2:$I$145,6,0)</f>
        <v>button</v>
      </c>
      <c r="J145" t="str">
        <f>+VLOOKUP(Sheet1!$D164,cond_inter!$A$2:$I$145,7,0)</f>
        <v>stim/button_press.png</v>
      </c>
      <c r="K145" t="str">
        <f>+VLOOKUP(Sheet1!$D164,cond_inter!$A$2:$I$145,8,0)</f>
        <v>money</v>
      </c>
      <c r="L145">
        <f>+VLOOKUP(Sheet1!$D164,cond_inter!$A$2:$I$145,9,0)</f>
        <v>117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45"/>
  <sheetViews>
    <sheetView workbookViewId="0"/>
  </sheetViews>
  <sheetFormatPr defaultColWidth="8.88671875" defaultRowHeight="14.4" x14ac:dyDescent="0.3"/>
  <cols>
    <col min="7" max="7" width="21.109375" customWidth="1"/>
    <col min="9" max="9" width="5.33203125" bestFit="1" customWidth="1"/>
    <col min="11" max="11" width="2" bestFit="1" customWidth="1"/>
    <col min="12" max="12" width="3" bestFit="1" customWidth="1"/>
    <col min="13" max="13" width="2" bestFit="1" customWidth="1"/>
    <col min="15" max="15" width="11.44140625" bestFit="1" customWidth="1"/>
    <col min="17" max="17" width="2" bestFit="1" customWidth="1"/>
  </cols>
  <sheetData>
    <row r="1" spans="1:9" x14ac:dyDescent="0.3">
      <c r="B1" t="s">
        <v>0</v>
      </c>
      <c r="C1" t="s">
        <v>1</v>
      </c>
      <c r="D1" t="s">
        <v>2</v>
      </c>
      <c r="E1" t="s">
        <v>3</v>
      </c>
      <c r="F1" t="s">
        <v>5</v>
      </c>
      <c r="G1" t="s">
        <v>6</v>
      </c>
      <c r="H1" t="s">
        <v>4</v>
      </c>
      <c r="I1" t="s">
        <v>7</v>
      </c>
    </row>
    <row r="2" spans="1:9" x14ac:dyDescent="0.3">
      <c r="A2">
        <v>1</v>
      </c>
      <c r="B2">
        <v>0.25</v>
      </c>
      <c r="C2">
        <v>0.25</v>
      </c>
      <c r="D2">
        <v>2</v>
      </c>
      <c r="E2">
        <v>1</v>
      </c>
      <c r="F2" t="s">
        <v>8</v>
      </c>
      <c r="G2" t="s">
        <v>9</v>
      </c>
      <c r="H2" t="s">
        <v>30</v>
      </c>
      <c r="I2">
        <v>0</v>
      </c>
    </row>
    <row r="3" spans="1:9" x14ac:dyDescent="0.3">
      <c r="A3">
        <f>+A2+1</f>
        <v>2</v>
      </c>
      <c r="B3">
        <v>0.25</v>
      </c>
      <c r="C3">
        <v>0.5</v>
      </c>
      <c r="D3">
        <v>2</v>
      </c>
      <c r="E3">
        <v>2</v>
      </c>
      <c r="F3" t="s">
        <v>10</v>
      </c>
      <c r="G3" t="s">
        <v>11</v>
      </c>
      <c r="H3" t="s">
        <v>30</v>
      </c>
      <c r="I3">
        <v>24</v>
      </c>
    </row>
    <row r="4" spans="1:9" x14ac:dyDescent="0.3">
      <c r="A4">
        <f t="shared" ref="A4:A67" si="0">+A3+1</f>
        <v>3</v>
      </c>
      <c r="B4">
        <v>0.25</v>
      </c>
      <c r="C4">
        <v>0.5</v>
      </c>
      <c r="D4">
        <v>1</v>
      </c>
      <c r="E4">
        <v>2</v>
      </c>
      <c r="F4" t="s">
        <v>8</v>
      </c>
      <c r="G4" t="s">
        <v>9</v>
      </c>
      <c r="H4" t="s">
        <v>30</v>
      </c>
      <c r="I4">
        <v>1</v>
      </c>
    </row>
    <row r="5" spans="1:9" x14ac:dyDescent="0.3">
      <c r="A5">
        <f t="shared" si="0"/>
        <v>4</v>
      </c>
      <c r="B5">
        <v>0.25</v>
      </c>
      <c r="C5">
        <v>0.5</v>
      </c>
      <c r="D5">
        <v>3</v>
      </c>
      <c r="E5">
        <v>2</v>
      </c>
      <c r="F5" t="s">
        <v>10</v>
      </c>
      <c r="G5" t="s">
        <v>11</v>
      </c>
      <c r="H5" t="s">
        <v>30</v>
      </c>
      <c r="I5">
        <v>25</v>
      </c>
    </row>
    <row r="6" spans="1:9" x14ac:dyDescent="0.3">
      <c r="A6">
        <f t="shared" si="0"/>
        <v>5</v>
      </c>
      <c r="B6">
        <v>0.25</v>
      </c>
      <c r="C6">
        <v>0.75</v>
      </c>
      <c r="D6">
        <v>1</v>
      </c>
      <c r="E6">
        <v>3</v>
      </c>
      <c r="F6" t="s">
        <v>8</v>
      </c>
      <c r="G6" t="s">
        <v>9</v>
      </c>
      <c r="H6" t="s">
        <v>30</v>
      </c>
      <c r="I6">
        <v>2</v>
      </c>
    </row>
    <row r="7" spans="1:9" x14ac:dyDescent="0.3">
      <c r="A7">
        <f t="shared" si="0"/>
        <v>6</v>
      </c>
      <c r="B7">
        <v>0.25</v>
      </c>
      <c r="C7">
        <v>0.25</v>
      </c>
      <c r="D7">
        <v>3</v>
      </c>
      <c r="E7">
        <v>1</v>
      </c>
      <c r="F7" t="s">
        <v>10</v>
      </c>
      <c r="G7" t="s">
        <v>11</v>
      </c>
      <c r="H7" t="s">
        <v>30</v>
      </c>
      <c r="I7">
        <v>26</v>
      </c>
    </row>
    <row r="8" spans="1:9" x14ac:dyDescent="0.3">
      <c r="A8">
        <f t="shared" si="0"/>
        <v>7</v>
      </c>
      <c r="B8">
        <v>0.25</v>
      </c>
      <c r="C8">
        <v>0.75</v>
      </c>
      <c r="D8">
        <v>1</v>
      </c>
      <c r="E8">
        <v>1</v>
      </c>
      <c r="F8" t="s">
        <v>8</v>
      </c>
      <c r="G8" t="s">
        <v>9</v>
      </c>
      <c r="H8" t="s">
        <v>30</v>
      </c>
      <c r="I8">
        <v>3</v>
      </c>
    </row>
    <row r="9" spans="1:9" x14ac:dyDescent="0.3">
      <c r="A9">
        <f t="shared" si="0"/>
        <v>8</v>
      </c>
      <c r="B9">
        <v>0.25</v>
      </c>
      <c r="C9">
        <v>0.75</v>
      </c>
      <c r="D9">
        <v>3</v>
      </c>
      <c r="E9">
        <v>1</v>
      </c>
      <c r="F9" t="s">
        <v>10</v>
      </c>
      <c r="G9" t="s">
        <v>11</v>
      </c>
      <c r="H9" t="s">
        <v>30</v>
      </c>
      <c r="I9">
        <v>27</v>
      </c>
    </row>
    <row r="10" spans="1:9" x14ac:dyDescent="0.3">
      <c r="A10">
        <f t="shared" si="0"/>
        <v>9</v>
      </c>
      <c r="B10">
        <v>0.25</v>
      </c>
      <c r="C10">
        <v>0.5</v>
      </c>
      <c r="D10">
        <v>3</v>
      </c>
      <c r="E10">
        <v>2</v>
      </c>
      <c r="F10" t="s">
        <v>8</v>
      </c>
      <c r="G10" t="s">
        <v>9</v>
      </c>
      <c r="H10" t="s">
        <v>30</v>
      </c>
      <c r="I10">
        <v>4</v>
      </c>
    </row>
    <row r="11" spans="1:9" x14ac:dyDescent="0.3">
      <c r="A11">
        <f t="shared" si="0"/>
        <v>10</v>
      </c>
      <c r="B11">
        <v>0.25</v>
      </c>
      <c r="C11">
        <v>0.75</v>
      </c>
      <c r="D11">
        <v>3</v>
      </c>
      <c r="E11">
        <v>2</v>
      </c>
      <c r="F11" t="s">
        <v>10</v>
      </c>
      <c r="G11" t="s">
        <v>11</v>
      </c>
      <c r="H11" t="s">
        <v>30</v>
      </c>
      <c r="I11">
        <v>28</v>
      </c>
    </row>
    <row r="12" spans="1:9" x14ac:dyDescent="0.3">
      <c r="A12">
        <f t="shared" si="0"/>
        <v>11</v>
      </c>
      <c r="B12">
        <v>0.25</v>
      </c>
      <c r="C12">
        <v>0.5</v>
      </c>
      <c r="D12">
        <v>3</v>
      </c>
      <c r="E12">
        <v>3</v>
      </c>
      <c r="F12" t="s">
        <v>8</v>
      </c>
      <c r="G12" t="s">
        <v>9</v>
      </c>
      <c r="H12" t="s">
        <v>30</v>
      </c>
      <c r="I12">
        <v>5</v>
      </c>
    </row>
    <row r="13" spans="1:9" x14ac:dyDescent="0.3">
      <c r="A13">
        <f t="shared" si="0"/>
        <v>12</v>
      </c>
      <c r="B13">
        <v>0.25</v>
      </c>
      <c r="C13">
        <v>0.5</v>
      </c>
      <c r="D13">
        <v>1</v>
      </c>
      <c r="E13">
        <v>2</v>
      </c>
      <c r="F13" t="s">
        <v>10</v>
      </c>
      <c r="G13" t="s">
        <v>11</v>
      </c>
      <c r="H13" t="s">
        <v>30</v>
      </c>
      <c r="I13">
        <v>29</v>
      </c>
    </row>
    <row r="14" spans="1:9" x14ac:dyDescent="0.3">
      <c r="A14">
        <f t="shared" si="0"/>
        <v>13</v>
      </c>
      <c r="B14">
        <v>0.25</v>
      </c>
      <c r="C14">
        <v>0.25</v>
      </c>
      <c r="D14">
        <v>1</v>
      </c>
      <c r="E14">
        <v>3</v>
      </c>
      <c r="F14" t="s">
        <v>8</v>
      </c>
      <c r="G14" t="s">
        <v>9</v>
      </c>
      <c r="H14" t="s">
        <v>30</v>
      </c>
      <c r="I14">
        <v>6</v>
      </c>
    </row>
    <row r="15" spans="1:9" x14ac:dyDescent="0.3">
      <c r="A15">
        <f t="shared" si="0"/>
        <v>14</v>
      </c>
      <c r="B15">
        <v>0.25</v>
      </c>
      <c r="C15">
        <v>0.5</v>
      </c>
      <c r="D15">
        <v>3</v>
      </c>
      <c r="E15">
        <v>1</v>
      </c>
      <c r="F15" t="s">
        <v>10</v>
      </c>
      <c r="G15" t="s">
        <v>11</v>
      </c>
      <c r="H15" t="s">
        <v>30</v>
      </c>
      <c r="I15">
        <v>30</v>
      </c>
    </row>
    <row r="16" spans="1:9" x14ac:dyDescent="0.3">
      <c r="A16">
        <f t="shared" si="0"/>
        <v>15</v>
      </c>
      <c r="B16">
        <v>0.25</v>
      </c>
      <c r="C16">
        <v>0.75</v>
      </c>
      <c r="D16">
        <v>3</v>
      </c>
      <c r="E16">
        <v>1</v>
      </c>
      <c r="F16" t="s">
        <v>8</v>
      </c>
      <c r="G16" t="s">
        <v>9</v>
      </c>
      <c r="H16" t="s">
        <v>30</v>
      </c>
      <c r="I16">
        <v>7</v>
      </c>
    </row>
    <row r="17" spans="1:9" x14ac:dyDescent="0.3">
      <c r="A17">
        <f t="shared" si="0"/>
        <v>16</v>
      </c>
      <c r="B17">
        <v>0.25</v>
      </c>
      <c r="C17">
        <v>0.5</v>
      </c>
      <c r="D17">
        <v>2</v>
      </c>
      <c r="E17">
        <v>1</v>
      </c>
      <c r="F17" t="s">
        <v>10</v>
      </c>
      <c r="G17" t="s">
        <v>11</v>
      </c>
      <c r="H17" t="s">
        <v>30</v>
      </c>
      <c r="I17">
        <v>31</v>
      </c>
    </row>
    <row r="18" spans="1:9" x14ac:dyDescent="0.3">
      <c r="A18">
        <f t="shared" si="0"/>
        <v>17</v>
      </c>
      <c r="B18">
        <v>0.25</v>
      </c>
      <c r="C18">
        <v>0.75</v>
      </c>
      <c r="D18">
        <v>2</v>
      </c>
      <c r="E18">
        <v>1</v>
      </c>
      <c r="F18" t="s">
        <v>8</v>
      </c>
      <c r="G18" t="s">
        <v>9</v>
      </c>
      <c r="H18" t="s">
        <v>30</v>
      </c>
      <c r="I18">
        <v>8</v>
      </c>
    </row>
    <row r="19" spans="1:9" x14ac:dyDescent="0.3">
      <c r="A19">
        <f t="shared" si="0"/>
        <v>18</v>
      </c>
      <c r="B19">
        <v>0.25</v>
      </c>
      <c r="C19">
        <v>0.75</v>
      </c>
      <c r="D19">
        <v>1</v>
      </c>
      <c r="E19">
        <v>1</v>
      </c>
      <c r="F19" t="s">
        <v>10</v>
      </c>
      <c r="G19" t="s">
        <v>11</v>
      </c>
      <c r="H19" t="s">
        <v>30</v>
      </c>
      <c r="I19">
        <v>32</v>
      </c>
    </row>
    <row r="20" spans="1:9" x14ac:dyDescent="0.3">
      <c r="A20">
        <f t="shared" si="0"/>
        <v>19</v>
      </c>
      <c r="B20">
        <v>0.25</v>
      </c>
      <c r="C20">
        <v>0.25</v>
      </c>
      <c r="D20">
        <v>1</v>
      </c>
      <c r="E20">
        <v>2</v>
      </c>
      <c r="F20" t="s">
        <v>8</v>
      </c>
      <c r="G20" t="s">
        <v>9</v>
      </c>
      <c r="H20" t="s">
        <v>30</v>
      </c>
      <c r="I20">
        <v>9</v>
      </c>
    </row>
    <row r="21" spans="1:9" x14ac:dyDescent="0.3">
      <c r="A21">
        <f t="shared" si="0"/>
        <v>20</v>
      </c>
      <c r="B21">
        <v>0.25</v>
      </c>
      <c r="C21">
        <v>0.25</v>
      </c>
      <c r="D21">
        <v>1</v>
      </c>
      <c r="E21">
        <v>2</v>
      </c>
      <c r="F21" t="s">
        <v>10</v>
      </c>
      <c r="G21" t="s">
        <v>11</v>
      </c>
      <c r="H21" t="s">
        <v>30</v>
      </c>
      <c r="I21">
        <v>33</v>
      </c>
    </row>
    <row r="22" spans="1:9" x14ac:dyDescent="0.3">
      <c r="A22">
        <f t="shared" si="0"/>
        <v>21</v>
      </c>
      <c r="B22">
        <v>0.25</v>
      </c>
      <c r="C22">
        <v>0.5</v>
      </c>
      <c r="D22">
        <v>2</v>
      </c>
      <c r="E22">
        <v>2</v>
      </c>
      <c r="F22" t="s">
        <v>8</v>
      </c>
      <c r="G22" t="s">
        <v>9</v>
      </c>
      <c r="H22" t="s">
        <v>30</v>
      </c>
      <c r="I22">
        <v>10</v>
      </c>
    </row>
    <row r="23" spans="1:9" x14ac:dyDescent="0.3">
      <c r="A23">
        <f t="shared" si="0"/>
        <v>22</v>
      </c>
      <c r="B23">
        <v>0.25</v>
      </c>
      <c r="C23">
        <v>0.75</v>
      </c>
      <c r="D23">
        <v>1</v>
      </c>
      <c r="E23">
        <v>3</v>
      </c>
      <c r="F23" t="s">
        <v>10</v>
      </c>
      <c r="G23" t="s">
        <v>11</v>
      </c>
      <c r="H23" t="s">
        <v>30</v>
      </c>
      <c r="I23">
        <v>34</v>
      </c>
    </row>
    <row r="24" spans="1:9" x14ac:dyDescent="0.3">
      <c r="A24">
        <f t="shared" si="0"/>
        <v>23</v>
      </c>
      <c r="B24">
        <v>0.25</v>
      </c>
      <c r="C24">
        <v>0.75</v>
      </c>
      <c r="D24">
        <v>1</v>
      </c>
      <c r="E24">
        <v>2</v>
      </c>
      <c r="F24" t="s">
        <v>8</v>
      </c>
      <c r="G24" t="s">
        <v>9</v>
      </c>
      <c r="H24" t="s">
        <v>30</v>
      </c>
      <c r="I24">
        <v>11</v>
      </c>
    </row>
    <row r="25" spans="1:9" x14ac:dyDescent="0.3">
      <c r="A25">
        <f t="shared" si="0"/>
        <v>24</v>
      </c>
      <c r="B25">
        <v>0.25</v>
      </c>
      <c r="C25">
        <v>0.5</v>
      </c>
      <c r="D25">
        <v>1</v>
      </c>
      <c r="E25">
        <v>3</v>
      </c>
      <c r="F25" t="s">
        <v>10</v>
      </c>
      <c r="G25" t="s">
        <v>11</v>
      </c>
      <c r="H25" t="s">
        <v>30</v>
      </c>
      <c r="I25">
        <v>35</v>
      </c>
    </row>
    <row r="26" spans="1:9" x14ac:dyDescent="0.3">
      <c r="A26">
        <f t="shared" si="0"/>
        <v>25</v>
      </c>
      <c r="B26">
        <v>0.25</v>
      </c>
      <c r="C26">
        <v>0.5</v>
      </c>
      <c r="D26">
        <v>2</v>
      </c>
      <c r="E26">
        <v>1</v>
      </c>
      <c r="F26" t="s">
        <v>8</v>
      </c>
      <c r="G26" t="s">
        <v>9</v>
      </c>
      <c r="H26" t="s">
        <v>30</v>
      </c>
      <c r="I26">
        <v>12</v>
      </c>
    </row>
    <row r="27" spans="1:9" x14ac:dyDescent="0.3">
      <c r="A27">
        <f t="shared" si="0"/>
        <v>26</v>
      </c>
      <c r="B27">
        <v>0.25</v>
      </c>
      <c r="C27">
        <v>0.75</v>
      </c>
      <c r="D27">
        <v>2</v>
      </c>
      <c r="E27">
        <v>3</v>
      </c>
      <c r="F27" t="s">
        <v>10</v>
      </c>
      <c r="G27" t="s">
        <v>11</v>
      </c>
      <c r="H27" t="s">
        <v>30</v>
      </c>
      <c r="I27">
        <v>36</v>
      </c>
    </row>
    <row r="28" spans="1:9" x14ac:dyDescent="0.3">
      <c r="A28">
        <f t="shared" si="0"/>
        <v>27</v>
      </c>
      <c r="B28">
        <v>0.25</v>
      </c>
      <c r="C28">
        <v>0.75</v>
      </c>
      <c r="D28">
        <v>2</v>
      </c>
      <c r="E28">
        <v>2</v>
      </c>
      <c r="F28" t="s">
        <v>8</v>
      </c>
      <c r="G28" t="s">
        <v>9</v>
      </c>
      <c r="H28" t="s">
        <v>30</v>
      </c>
      <c r="I28">
        <v>13</v>
      </c>
    </row>
    <row r="29" spans="1:9" x14ac:dyDescent="0.3">
      <c r="A29">
        <f t="shared" si="0"/>
        <v>28</v>
      </c>
      <c r="B29">
        <v>0.25</v>
      </c>
      <c r="C29">
        <v>0.5</v>
      </c>
      <c r="D29">
        <v>2</v>
      </c>
      <c r="E29">
        <v>3</v>
      </c>
      <c r="F29" t="s">
        <v>10</v>
      </c>
      <c r="G29" t="s">
        <v>11</v>
      </c>
      <c r="H29" t="s">
        <v>30</v>
      </c>
      <c r="I29">
        <v>37</v>
      </c>
    </row>
    <row r="30" spans="1:9" x14ac:dyDescent="0.3">
      <c r="A30">
        <f t="shared" si="0"/>
        <v>29</v>
      </c>
      <c r="B30">
        <v>0.25</v>
      </c>
      <c r="C30">
        <v>0.25</v>
      </c>
      <c r="D30">
        <v>2</v>
      </c>
      <c r="E30">
        <v>3</v>
      </c>
      <c r="F30" t="s">
        <v>8</v>
      </c>
      <c r="G30" t="s">
        <v>9</v>
      </c>
      <c r="H30" t="s">
        <v>30</v>
      </c>
      <c r="I30">
        <v>14</v>
      </c>
    </row>
    <row r="31" spans="1:9" x14ac:dyDescent="0.3">
      <c r="A31">
        <f t="shared" si="0"/>
        <v>30</v>
      </c>
      <c r="B31">
        <v>0.25</v>
      </c>
      <c r="C31">
        <v>0.75</v>
      </c>
      <c r="D31">
        <v>2</v>
      </c>
      <c r="E31">
        <v>2</v>
      </c>
      <c r="F31" t="s">
        <v>10</v>
      </c>
      <c r="G31" t="s">
        <v>11</v>
      </c>
      <c r="H31" t="s">
        <v>30</v>
      </c>
      <c r="I31">
        <v>38</v>
      </c>
    </row>
    <row r="32" spans="1:9" x14ac:dyDescent="0.3">
      <c r="A32">
        <f t="shared" si="0"/>
        <v>31</v>
      </c>
      <c r="B32">
        <v>0.25</v>
      </c>
      <c r="C32">
        <v>0.25</v>
      </c>
      <c r="D32">
        <v>3</v>
      </c>
      <c r="E32">
        <v>2</v>
      </c>
      <c r="F32" t="s">
        <v>8</v>
      </c>
      <c r="G32" t="s">
        <v>9</v>
      </c>
      <c r="H32" t="s">
        <v>30</v>
      </c>
      <c r="I32">
        <v>15</v>
      </c>
    </row>
    <row r="33" spans="1:9" x14ac:dyDescent="0.3">
      <c r="A33">
        <f t="shared" si="0"/>
        <v>32</v>
      </c>
      <c r="B33">
        <v>0.25</v>
      </c>
      <c r="C33">
        <v>0.25</v>
      </c>
      <c r="D33">
        <v>1</v>
      </c>
      <c r="E33">
        <v>3</v>
      </c>
      <c r="F33" t="s">
        <v>10</v>
      </c>
      <c r="G33" t="s">
        <v>11</v>
      </c>
      <c r="H33" t="s">
        <v>30</v>
      </c>
      <c r="I33">
        <v>39</v>
      </c>
    </row>
    <row r="34" spans="1:9" x14ac:dyDescent="0.3">
      <c r="A34">
        <f t="shared" si="0"/>
        <v>33</v>
      </c>
      <c r="B34">
        <v>0.25</v>
      </c>
      <c r="C34">
        <v>0.75</v>
      </c>
      <c r="D34">
        <v>3</v>
      </c>
      <c r="E34">
        <v>3</v>
      </c>
      <c r="F34" t="s">
        <v>8</v>
      </c>
      <c r="G34" t="s">
        <v>9</v>
      </c>
      <c r="H34" t="s">
        <v>30</v>
      </c>
      <c r="I34">
        <v>16</v>
      </c>
    </row>
    <row r="35" spans="1:9" x14ac:dyDescent="0.3">
      <c r="A35">
        <f t="shared" si="0"/>
        <v>34</v>
      </c>
      <c r="B35">
        <v>0.25</v>
      </c>
      <c r="C35">
        <v>0.25</v>
      </c>
      <c r="D35">
        <v>3</v>
      </c>
      <c r="E35">
        <v>2</v>
      </c>
      <c r="F35" t="s">
        <v>10</v>
      </c>
      <c r="G35" t="s">
        <v>11</v>
      </c>
      <c r="H35" t="s">
        <v>30</v>
      </c>
      <c r="I35">
        <v>40</v>
      </c>
    </row>
    <row r="36" spans="1:9" x14ac:dyDescent="0.3">
      <c r="A36">
        <f t="shared" si="0"/>
        <v>35</v>
      </c>
      <c r="B36">
        <v>0.25</v>
      </c>
      <c r="C36">
        <v>0.5</v>
      </c>
      <c r="D36">
        <v>3</v>
      </c>
      <c r="E36">
        <v>1</v>
      </c>
      <c r="F36" t="s">
        <v>8</v>
      </c>
      <c r="G36" t="s">
        <v>9</v>
      </c>
      <c r="H36" t="s">
        <v>30</v>
      </c>
      <c r="I36">
        <v>17</v>
      </c>
    </row>
    <row r="37" spans="1:9" x14ac:dyDescent="0.3">
      <c r="A37">
        <f t="shared" si="0"/>
        <v>36</v>
      </c>
      <c r="B37">
        <v>0.25</v>
      </c>
      <c r="C37">
        <v>0.75</v>
      </c>
      <c r="D37">
        <v>3</v>
      </c>
      <c r="E37">
        <v>3</v>
      </c>
      <c r="F37" t="s">
        <v>10</v>
      </c>
      <c r="G37" t="s">
        <v>11</v>
      </c>
      <c r="H37" t="s">
        <v>30</v>
      </c>
      <c r="I37">
        <v>41</v>
      </c>
    </row>
    <row r="38" spans="1:9" x14ac:dyDescent="0.3">
      <c r="A38">
        <f t="shared" si="0"/>
        <v>37</v>
      </c>
      <c r="B38">
        <v>0.25</v>
      </c>
      <c r="C38">
        <v>0.5</v>
      </c>
      <c r="D38">
        <v>2</v>
      </c>
      <c r="E38">
        <v>3</v>
      </c>
      <c r="F38" t="s">
        <v>8</v>
      </c>
      <c r="G38" t="s">
        <v>9</v>
      </c>
      <c r="H38" t="s">
        <v>30</v>
      </c>
      <c r="I38">
        <v>18</v>
      </c>
    </row>
    <row r="39" spans="1:9" x14ac:dyDescent="0.3">
      <c r="A39">
        <f t="shared" si="0"/>
        <v>38</v>
      </c>
      <c r="B39">
        <v>0.25</v>
      </c>
      <c r="C39">
        <v>0.5</v>
      </c>
      <c r="D39">
        <v>1</v>
      </c>
      <c r="E39">
        <v>1</v>
      </c>
      <c r="F39" t="s">
        <v>10</v>
      </c>
      <c r="G39" t="s">
        <v>11</v>
      </c>
      <c r="H39" t="s">
        <v>30</v>
      </c>
      <c r="I39">
        <v>42</v>
      </c>
    </row>
    <row r="40" spans="1:9" x14ac:dyDescent="0.3">
      <c r="A40">
        <f t="shared" si="0"/>
        <v>39</v>
      </c>
      <c r="B40">
        <v>0.25</v>
      </c>
      <c r="C40">
        <v>0.75</v>
      </c>
      <c r="D40">
        <v>2</v>
      </c>
      <c r="E40">
        <v>3</v>
      </c>
      <c r="F40" t="s">
        <v>8</v>
      </c>
      <c r="G40" t="s">
        <v>9</v>
      </c>
      <c r="H40" t="s">
        <v>30</v>
      </c>
      <c r="I40">
        <v>19</v>
      </c>
    </row>
    <row r="41" spans="1:9" x14ac:dyDescent="0.3">
      <c r="A41">
        <f t="shared" si="0"/>
        <v>40</v>
      </c>
      <c r="B41">
        <v>0.25</v>
      </c>
      <c r="C41">
        <v>0.75</v>
      </c>
      <c r="D41">
        <v>2</v>
      </c>
      <c r="E41">
        <v>1</v>
      </c>
      <c r="F41" t="s">
        <v>10</v>
      </c>
      <c r="G41" t="s">
        <v>11</v>
      </c>
      <c r="H41" t="s">
        <v>30</v>
      </c>
      <c r="I41">
        <v>43</v>
      </c>
    </row>
    <row r="42" spans="1:9" x14ac:dyDescent="0.3">
      <c r="A42">
        <f t="shared" si="0"/>
        <v>41</v>
      </c>
      <c r="B42">
        <v>0.25</v>
      </c>
      <c r="C42">
        <v>0.5</v>
      </c>
      <c r="D42">
        <v>1</v>
      </c>
      <c r="E42">
        <v>3</v>
      </c>
      <c r="F42" t="s">
        <v>8</v>
      </c>
      <c r="G42" t="s">
        <v>9</v>
      </c>
      <c r="H42" t="s">
        <v>30</v>
      </c>
      <c r="I42">
        <v>20</v>
      </c>
    </row>
    <row r="43" spans="1:9" x14ac:dyDescent="0.3">
      <c r="A43">
        <f t="shared" si="0"/>
        <v>42</v>
      </c>
      <c r="B43">
        <v>0.25</v>
      </c>
      <c r="C43">
        <v>0.5</v>
      </c>
      <c r="D43">
        <v>3</v>
      </c>
      <c r="E43">
        <v>3</v>
      </c>
      <c r="F43" t="s">
        <v>10</v>
      </c>
      <c r="G43" t="s">
        <v>11</v>
      </c>
      <c r="H43" t="s">
        <v>30</v>
      </c>
      <c r="I43">
        <v>44</v>
      </c>
    </row>
    <row r="44" spans="1:9" x14ac:dyDescent="0.3">
      <c r="A44">
        <f t="shared" si="0"/>
        <v>43</v>
      </c>
      <c r="B44">
        <v>0.25</v>
      </c>
      <c r="C44">
        <v>0.5</v>
      </c>
      <c r="D44">
        <v>1</v>
      </c>
      <c r="E44">
        <v>1</v>
      </c>
      <c r="F44" t="s">
        <v>8</v>
      </c>
      <c r="G44" t="s">
        <v>9</v>
      </c>
      <c r="H44" t="s">
        <v>30</v>
      </c>
      <c r="I44">
        <v>21</v>
      </c>
    </row>
    <row r="45" spans="1:9" x14ac:dyDescent="0.3">
      <c r="A45">
        <f t="shared" si="0"/>
        <v>44</v>
      </c>
      <c r="B45">
        <v>0.25</v>
      </c>
      <c r="C45">
        <v>0.25</v>
      </c>
      <c r="D45">
        <v>2</v>
      </c>
      <c r="E45">
        <v>1</v>
      </c>
      <c r="F45" t="s">
        <v>10</v>
      </c>
      <c r="G45" t="s">
        <v>11</v>
      </c>
      <c r="H45" t="s">
        <v>30</v>
      </c>
      <c r="I45">
        <v>45</v>
      </c>
    </row>
    <row r="46" spans="1:9" x14ac:dyDescent="0.3">
      <c r="A46">
        <f t="shared" si="0"/>
        <v>45</v>
      </c>
      <c r="B46">
        <v>0.25</v>
      </c>
      <c r="C46">
        <v>0.25</v>
      </c>
      <c r="D46">
        <v>3</v>
      </c>
      <c r="E46">
        <v>1</v>
      </c>
      <c r="F46" t="s">
        <v>8</v>
      </c>
      <c r="G46" t="s">
        <v>9</v>
      </c>
      <c r="H46" t="s">
        <v>30</v>
      </c>
      <c r="I46">
        <v>22</v>
      </c>
    </row>
    <row r="47" spans="1:9" x14ac:dyDescent="0.3">
      <c r="A47">
        <f t="shared" si="0"/>
        <v>46</v>
      </c>
      <c r="B47">
        <v>0.25</v>
      </c>
      <c r="C47">
        <v>0.25</v>
      </c>
      <c r="D47">
        <v>2</v>
      </c>
      <c r="E47">
        <v>3</v>
      </c>
      <c r="F47" t="s">
        <v>10</v>
      </c>
      <c r="G47" t="s">
        <v>11</v>
      </c>
      <c r="H47" t="s">
        <v>30</v>
      </c>
      <c r="I47">
        <v>46</v>
      </c>
    </row>
    <row r="48" spans="1:9" x14ac:dyDescent="0.3">
      <c r="A48">
        <f t="shared" si="0"/>
        <v>47</v>
      </c>
      <c r="B48">
        <v>0.25</v>
      </c>
      <c r="C48">
        <v>0.75</v>
      </c>
      <c r="D48">
        <v>3</v>
      </c>
      <c r="E48">
        <v>2</v>
      </c>
      <c r="F48" t="s">
        <v>8</v>
      </c>
      <c r="G48" t="s">
        <v>9</v>
      </c>
      <c r="H48" t="s">
        <v>30</v>
      </c>
      <c r="I48">
        <v>23</v>
      </c>
    </row>
    <row r="49" spans="1:9" x14ac:dyDescent="0.3">
      <c r="A49">
        <f t="shared" si="0"/>
        <v>48</v>
      </c>
      <c r="B49">
        <v>0.25</v>
      </c>
      <c r="C49">
        <v>0.75</v>
      </c>
      <c r="D49">
        <v>1</v>
      </c>
      <c r="E49">
        <v>2</v>
      </c>
      <c r="F49" t="s">
        <v>10</v>
      </c>
      <c r="G49" t="s">
        <v>11</v>
      </c>
      <c r="H49" t="s">
        <v>30</v>
      </c>
      <c r="I49">
        <v>47</v>
      </c>
    </row>
    <row r="50" spans="1:9" x14ac:dyDescent="0.3">
      <c r="A50">
        <f t="shared" si="0"/>
        <v>49</v>
      </c>
      <c r="B50">
        <v>0.5</v>
      </c>
      <c r="C50">
        <v>0.25</v>
      </c>
      <c r="D50">
        <v>2</v>
      </c>
      <c r="E50">
        <v>2</v>
      </c>
      <c r="F50" t="s">
        <v>8</v>
      </c>
      <c r="G50" t="s">
        <v>9</v>
      </c>
      <c r="H50" t="s">
        <v>30</v>
      </c>
      <c r="I50">
        <v>48</v>
      </c>
    </row>
    <row r="51" spans="1:9" x14ac:dyDescent="0.3">
      <c r="A51">
        <f t="shared" si="0"/>
        <v>50</v>
      </c>
      <c r="B51">
        <v>0.5</v>
      </c>
      <c r="C51">
        <v>0.75</v>
      </c>
      <c r="D51">
        <v>1</v>
      </c>
      <c r="E51">
        <v>1</v>
      </c>
      <c r="F51" t="s">
        <v>10</v>
      </c>
      <c r="G51" t="s">
        <v>11</v>
      </c>
      <c r="H51" t="s">
        <v>30</v>
      </c>
      <c r="I51">
        <v>72</v>
      </c>
    </row>
    <row r="52" spans="1:9" x14ac:dyDescent="0.3">
      <c r="A52">
        <f t="shared" si="0"/>
        <v>51</v>
      </c>
      <c r="B52">
        <v>0.5</v>
      </c>
      <c r="C52">
        <v>0.25</v>
      </c>
      <c r="D52">
        <v>3</v>
      </c>
      <c r="E52">
        <v>1</v>
      </c>
      <c r="F52" t="s">
        <v>8</v>
      </c>
      <c r="G52" t="s">
        <v>9</v>
      </c>
      <c r="H52" t="s">
        <v>30</v>
      </c>
      <c r="I52">
        <v>49</v>
      </c>
    </row>
    <row r="53" spans="1:9" x14ac:dyDescent="0.3">
      <c r="A53">
        <f t="shared" si="0"/>
        <v>52</v>
      </c>
      <c r="B53">
        <v>0.5</v>
      </c>
      <c r="C53">
        <v>0.75</v>
      </c>
      <c r="D53">
        <v>2</v>
      </c>
      <c r="E53">
        <v>3</v>
      </c>
      <c r="F53" t="s">
        <v>10</v>
      </c>
      <c r="G53" t="s">
        <v>11</v>
      </c>
      <c r="H53" t="s">
        <v>30</v>
      </c>
      <c r="I53">
        <v>73</v>
      </c>
    </row>
    <row r="54" spans="1:9" x14ac:dyDescent="0.3">
      <c r="A54">
        <f t="shared" si="0"/>
        <v>53</v>
      </c>
      <c r="B54">
        <v>0.5</v>
      </c>
      <c r="C54">
        <v>0.75</v>
      </c>
      <c r="D54">
        <v>2</v>
      </c>
      <c r="E54">
        <v>3</v>
      </c>
      <c r="F54" t="s">
        <v>8</v>
      </c>
      <c r="G54" t="s">
        <v>9</v>
      </c>
      <c r="H54" t="s">
        <v>30</v>
      </c>
      <c r="I54">
        <v>50</v>
      </c>
    </row>
    <row r="55" spans="1:9" x14ac:dyDescent="0.3">
      <c r="A55">
        <f t="shared" si="0"/>
        <v>54</v>
      </c>
      <c r="B55">
        <v>0.5</v>
      </c>
      <c r="C55">
        <v>0.75</v>
      </c>
      <c r="D55">
        <v>3</v>
      </c>
      <c r="E55">
        <v>1</v>
      </c>
      <c r="F55" t="s">
        <v>10</v>
      </c>
      <c r="G55" t="s">
        <v>11</v>
      </c>
      <c r="H55" t="s">
        <v>30</v>
      </c>
      <c r="I55">
        <v>74</v>
      </c>
    </row>
    <row r="56" spans="1:9" x14ac:dyDescent="0.3">
      <c r="A56">
        <f t="shared" si="0"/>
        <v>55</v>
      </c>
      <c r="B56">
        <v>0.5</v>
      </c>
      <c r="C56">
        <v>0.5</v>
      </c>
      <c r="D56">
        <v>1</v>
      </c>
      <c r="E56">
        <v>3</v>
      </c>
      <c r="F56" t="s">
        <v>8</v>
      </c>
      <c r="G56" t="s">
        <v>9</v>
      </c>
      <c r="H56" t="s">
        <v>30</v>
      </c>
      <c r="I56">
        <v>51</v>
      </c>
    </row>
    <row r="57" spans="1:9" x14ac:dyDescent="0.3">
      <c r="A57">
        <f t="shared" si="0"/>
        <v>56</v>
      </c>
      <c r="B57">
        <v>0.5</v>
      </c>
      <c r="C57">
        <v>0.25</v>
      </c>
      <c r="D57">
        <v>2</v>
      </c>
      <c r="E57">
        <v>2</v>
      </c>
      <c r="F57" t="s">
        <v>10</v>
      </c>
      <c r="G57" t="s">
        <v>11</v>
      </c>
      <c r="H57" t="s">
        <v>30</v>
      </c>
      <c r="I57">
        <v>75</v>
      </c>
    </row>
    <row r="58" spans="1:9" x14ac:dyDescent="0.3">
      <c r="A58">
        <f t="shared" si="0"/>
        <v>57</v>
      </c>
      <c r="B58">
        <v>0.5</v>
      </c>
      <c r="C58">
        <v>0.25</v>
      </c>
      <c r="D58">
        <v>1</v>
      </c>
      <c r="E58">
        <v>3</v>
      </c>
      <c r="F58" t="s">
        <v>8</v>
      </c>
      <c r="G58" t="s">
        <v>9</v>
      </c>
      <c r="H58" t="s">
        <v>30</v>
      </c>
      <c r="I58">
        <v>52</v>
      </c>
    </row>
    <row r="59" spans="1:9" x14ac:dyDescent="0.3">
      <c r="A59">
        <f t="shared" si="0"/>
        <v>58</v>
      </c>
      <c r="B59">
        <v>0.5</v>
      </c>
      <c r="C59">
        <v>0.25</v>
      </c>
      <c r="D59">
        <v>1</v>
      </c>
      <c r="E59">
        <v>3</v>
      </c>
      <c r="F59" t="s">
        <v>10</v>
      </c>
      <c r="G59" t="s">
        <v>11</v>
      </c>
      <c r="H59" t="s">
        <v>30</v>
      </c>
      <c r="I59">
        <v>76</v>
      </c>
    </row>
    <row r="60" spans="1:9" x14ac:dyDescent="0.3">
      <c r="A60">
        <f t="shared" si="0"/>
        <v>59</v>
      </c>
      <c r="B60">
        <v>0.5</v>
      </c>
      <c r="C60">
        <v>0.75</v>
      </c>
      <c r="D60">
        <v>3</v>
      </c>
      <c r="E60">
        <v>1</v>
      </c>
      <c r="F60" t="s">
        <v>8</v>
      </c>
      <c r="G60" t="s">
        <v>9</v>
      </c>
      <c r="H60" t="s">
        <v>30</v>
      </c>
      <c r="I60">
        <v>53</v>
      </c>
    </row>
    <row r="61" spans="1:9" x14ac:dyDescent="0.3">
      <c r="A61">
        <f t="shared" si="0"/>
        <v>60</v>
      </c>
      <c r="B61">
        <v>0.5</v>
      </c>
      <c r="C61">
        <v>0.75</v>
      </c>
      <c r="D61">
        <v>1</v>
      </c>
      <c r="E61">
        <v>2</v>
      </c>
      <c r="F61" t="s">
        <v>10</v>
      </c>
      <c r="G61" t="s">
        <v>11</v>
      </c>
      <c r="H61" t="s">
        <v>30</v>
      </c>
      <c r="I61">
        <v>77</v>
      </c>
    </row>
    <row r="62" spans="1:9" x14ac:dyDescent="0.3">
      <c r="A62">
        <f t="shared" si="0"/>
        <v>61</v>
      </c>
      <c r="B62">
        <v>0.5</v>
      </c>
      <c r="C62">
        <v>0.5</v>
      </c>
      <c r="D62">
        <v>2</v>
      </c>
      <c r="E62">
        <v>1</v>
      </c>
      <c r="F62" t="s">
        <v>8</v>
      </c>
      <c r="G62" t="s">
        <v>9</v>
      </c>
      <c r="H62" t="s">
        <v>30</v>
      </c>
      <c r="I62">
        <v>54</v>
      </c>
    </row>
    <row r="63" spans="1:9" x14ac:dyDescent="0.3">
      <c r="A63">
        <f t="shared" si="0"/>
        <v>62</v>
      </c>
      <c r="B63">
        <v>0.5</v>
      </c>
      <c r="C63">
        <v>0.5</v>
      </c>
      <c r="D63">
        <v>1</v>
      </c>
      <c r="E63">
        <v>3</v>
      </c>
      <c r="F63" t="s">
        <v>10</v>
      </c>
      <c r="G63" t="s">
        <v>11</v>
      </c>
      <c r="H63" t="s">
        <v>30</v>
      </c>
      <c r="I63">
        <v>78</v>
      </c>
    </row>
    <row r="64" spans="1:9" x14ac:dyDescent="0.3">
      <c r="A64">
        <f t="shared" si="0"/>
        <v>63</v>
      </c>
      <c r="B64">
        <v>0.5</v>
      </c>
      <c r="C64">
        <v>0.5</v>
      </c>
      <c r="D64">
        <v>2</v>
      </c>
      <c r="E64">
        <v>3</v>
      </c>
      <c r="F64" t="s">
        <v>8</v>
      </c>
      <c r="G64" t="s">
        <v>9</v>
      </c>
      <c r="H64" t="s">
        <v>30</v>
      </c>
      <c r="I64">
        <v>55</v>
      </c>
    </row>
    <row r="65" spans="1:9" x14ac:dyDescent="0.3">
      <c r="A65">
        <f t="shared" si="0"/>
        <v>64</v>
      </c>
      <c r="B65">
        <v>0.5</v>
      </c>
      <c r="C65">
        <v>0.25</v>
      </c>
      <c r="D65">
        <v>3</v>
      </c>
      <c r="E65">
        <v>1</v>
      </c>
      <c r="F65" t="s">
        <v>10</v>
      </c>
      <c r="G65" t="s">
        <v>11</v>
      </c>
      <c r="H65" t="s">
        <v>30</v>
      </c>
      <c r="I65">
        <v>79</v>
      </c>
    </row>
    <row r="66" spans="1:9" x14ac:dyDescent="0.3">
      <c r="A66">
        <f t="shared" si="0"/>
        <v>65</v>
      </c>
      <c r="B66">
        <v>0.5</v>
      </c>
      <c r="C66">
        <v>0.75</v>
      </c>
      <c r="D66">
        <v>2</v>
      </c>
      <c r="E66">
        <v>2</v>
      </c>
      <c r="F66" t="s">
        <v>8</v>
      </c>
      <c r="G66" t="s">
        <v>9</v>
      </c>
      <c r="H66" t="s">
        <v>30</v>
      </c>
      <c r="I66">
        <v>56</v>
      </c>
    </row>
    <row r="67" spans="1:9" x14ac:dyDescent="0.3">
      <c r="A67">
        <f t="shared" si="0"/>
        <v>66</v>
      </c>
      <c r="B67">
        <v>0.5</v>
      </c>
      <c r="C67">
        <v>0.75</v>
      </c>
      <c r="D67">
        <v>3</v>
      </c>
      <c r="E67">
        <v>3</v>
      </c>
      <c r="F67" t="s">
        <v>10</v>
      </c>
      <c r="G67" t="s">
        <v>11</v>
      </c>
      <c r="H67" t="s">
        <v>30</v>
      </c>
      <c r="I67">
        <v>80</v>
      </c>
    </row>
    <row r="68" spans="1:9" x14ac:dyDescent="0.3">
      <c r="A68">
        <f t="shared" ref="A68:A131" si="1">+A67+1</f>
        <v>67</v>
      </c>
      <c r="B68">
        <v>0.5</v>
      </c>
      <c r="C68">
        <v>0.5</v>
      </c>
      <c r="D68">
        <v>1</v>
      </c>
      <c r="E68">
        <v>2</v>
      </c>
      <c r="F68" t="s">
        <v>8</v>
      </c>
      <c r="G68" t="s">
        <v>9</v>
      </c>
      <c r="H68" t="s">
        <v>30</v>
      </c>
      <c r="I68">
        <v>57</v>
      </c>
    </row>
    <row r="69" spans="1:9" x14ac:dyDescent="0.3">
      <c r="A69">
        <f t="shared" si="1"/>
        <v>68</v>
      </c>
      <c r="B69">
        <v>0.5</v>
      </c>
      <c r="C69">
        <v>0.5</v>
      </c>
      <c r="D69">
        <v>1</v>
      </c>
      <c r="E69">
        <v>2</v>
      </c>
      <c r="F69" t="s">
        <v>10</v>
      </c>
      <c r="G69" t="s">
        <v>11</v>
      </c>
      <c r="H69" t="s">
        <v>30</v>
      </c>
      <c r="I69">
        <v>81</v>
      </c>
    </row>
    <row r="70" spans="1:9" x14ac:dyDescent="0.3">
      <c r="A70">
        <f t="shared" si="1"/>
        <v>69</v>
      </c>
      <c r="B70">
        <v>0.5</v>
      </c>
      <c r="C70">
        <v>0.75</v>
      </c>
      <c r="D70">
        <v>3</v>
      </c>
      <c r="E70">
        <v>2</v>
      </c>
      <c r="F70" t="s">
        <v>8</v>
      </c>
      <c r="G70" t="s">
        <v>9</v>
      </c>
      <c r="H70" t="s">
        <v>30</v>
      </c>
      <c r="I70">
        <v>58</v>
      </c>
    </row>
    <row r="71" spans="1:9" x14ac:dyDescent="0.3">
      <c r="A71">
        <f t="shared" si="1"/>
        <v>70</v>
      </c>
      <c r="B71">
        <v>0.5</v>
      </c>
      <c r="C71">
        <v>0.25</v>
      </c>
      <c r="D71">
        <v>1</v>
      </c>
      <c r="E71">
        <v>2</v>
      </c>
      <c r="F71" t="s">
        <v>10</v>
      </c>
      <c r="G71" t="s">
        <v>11</v>
      </c>
      <c r="H71" t="s">
        <v>30</v>
      </c>
      <c r="I71">
        <v>82</v>
      </c>
    </row>
    <row r="72" spans="1:9" x14ac:dyDescent="0.3">
      <c r="A72">
        <f t="shared" si="1"/>
        <v>71</v>
      </c>
      <c r="B72">
        <v>0.5</v>
      </c>
      <c r="C72">
        <v>0.75</v>
      </c>
      <c r="D72">
        <v>1</v>
      </c>
      <c r="E72">
        <v>3</v>
      </c>
      <c r="F72" t="s">
        <v>8</v>
      </c>
      <c r="G72" t="s">
        <v>9</v>
      </c>
      <c r="H72" t="s">
        <v>30</v>
      </c>
      <c r="I72">
        <v>59</v>
      </c>
    </row>
    <row r="73" spans="1:9" x14ac:dyDescent="0.3">
      <c r="A73">
        <f t="shared" si="1"/>
        <v>72</v>
      </c>
      <c r="B73">
        <v>0.5</v>
      </c>
      <c r="C73">
        <v>0.5</v>
      </c>
      <c r="D73">
        <v>3</v>
      </c>
      <c r="E73">
        <v>1</v>
      </c>
      <c r="F73" t="s">
        <v>10</v>
      </c>
      <c r="G73" t="s">
        <v>11</v>
      </c>
      <c r="H73" t="s">
        <v>30</v>
      </c>
      <c r="I73">
        <v>83</v>
      </c>
    </row>
    <row r="74" spans="1:9" x14ac:dyDescent="0.3">
      <c r="A74">
        <f t="shared" si="1"/>
        <v>73</v>
      </c>
      <c r="B74">
        <v>0.5</v>
      </c>
      <c r="C74">
        <v>0.25</v>
      </c>
      <c r="D74">
        <v>1</v>
      </c>
      <c r="E74">
        <v>1</v>
      </c>
      <c r="F74" t="s">
        <v>8</v>
      </c>
      <c r="G74" t="s">
        <v>9</v>
      </c>
      <c r="H74" t="s">
        <v>30</v>
      </c>
      <c r="I74">
        <v>60</v>
      </c>
    </row>
    <row r="75" spans="1:9" x14ac:dyDescent="0.3">
      <c r="A75">
        <f t="shared" si="1"/>
        <v>74</v>
      </c>
      <c r="B75">
        <v>0.5</v>
      </c>
      <c r="C75">
        <v>0.25</v>
      </c>
      <c r="D75">
        <v>3</v>
      </c>
      <c r="E75">
        <v>3</v>
      </c>
      <c r="F75" t="s">
        <v>10</v>
      </c>
      <c r="G75" t="s">
        <v>11</v>
      </c>
      <c r="H75" t="s">
        <v>30</v>
      </c>
      <c r="I75">
        <v>84</v>
      </c>
    </row>
    <row r="76" spans="1:9" x14ac:dyDescent="0.3">
      <c r="A76">
        <f t="shared" si="1"/>
        <v>75</v>
      </c>
      <c r="B76">
        <v>0.5</v>
      </c>
      <c r="C76">
        <v>0.25</v>
      </c>
      <c r="D76">
        <v>3</v>
      </c>
      <c r="E76">
        <v>2</v>
      </c>
      <c r="F76" t="s">
        <v>8</v>
      </c>
      <c r="G76" t="s">
        <v>9</v>
      </c>
      <c r="H76" t="s">
        <v>30</v>
      </c>
      <c r="I76">
        <v>61</v>
      </c>
    </row>
    <row r="77" spans="1:9" x14ac:dyDescent="0.3">
      <c r="A77">
        <f t="shared" si="1"/>
        <v>76</v>
      </c>
      <c r="B77">
        <v>0.5</v>
      </c>
      <c r="C77">
        <v>0.25</v>
      </c>
      <c r="D77">
        <v>1</v>
      </c>
      <c r="E77">
        <v>1</v>
      </c>
      <c r="F77" t="s">
        <v>10</v>
      </c>
      <c r="G77" t="s">
        <v>11</v>
      </c>
      <c r="H77" t="s">
        <v>30</v>
      </c>
      <c r="I77">
        <v>85</v>
      </c>
    </row>
    <row r="78" spans="1:9" x14ac:dyDescent="0.3">
      <c r="A78">
        <f t="shared" si="1"/>
        <v>77</v>
      </c>
      <c r="B78">
        <v>0.5</v>
      </c>
      <c r="C78">
        <v>0.75</v>
      </c>
      <c r="D78">
        <v>3</v>
      </c>
      <c r="E78">
        <v>3</v>
      </c>
      <c r="F78" t="s">
        <v>8</v>
      </c>
      <c r="G78" t="s">
        <v>9</v>
      </c>
      <c r="H78" t="s">
        <v>30</v>
      </c>
      <c r="I78">
        <v>62</v>
      </c>
    </row>
    <row r="79" spans="1:9" x14ac:dyDescent="0.3">
      <c r="A79">
        <f t="shared" si="1"/>
        <v>78</v>
      </c>
      <c r="B79">
        <v>0.5</v>
      </c>
      <c r="C79">
        <v>0.5</v>
      </c>
      <c r="D79">
        <v>2</v>
      </c>
      <c r="E79">
        <v>1</v>
      </c>
      <c r="F79" t="s">
        <v>10</v>
      </c>
      <c r="G79" t="s">
        <v>11</v>
      </c>
      <c r="H79" t="s">
        <v>30</v>
      </c>
      <c r="I79">
        <v>86</v>
      </c>
    </row>
    <row r="80" spans="1:9" x14ac:dyDescent="0.3">
      <c r="A80">
        <f t="shared" si="1"/>
        <v>79</v>
      </c>
      <c r="B80">
        <v>0.5</v>
      </c>
      <c r="C80">
        <v>0.25</v>
      </c>
      <c r="D80">
        <v>2</v>
      </c>
      <c r="E80">
        <v>3</v>
      </c>
      <c r="F80" t="s">
        <v>8</v>
      </c>
      <c r="G80" t="s">
        <v>9</v>
      </c>
      <c r="H80" t="s">
        <v>30</v>
      </c>
      <c r="I80">
        <v>63</v>
      </c>
    </row>
    <row r="81" spans="1:9" x14ac:dyDescent="0.3">
      <c r="A81">
        <f t="shared" si="1"/>
        <v>80</v>
      </c>
      <c r="B81">
        <v>0.5</v>
      </c>
      <c r="C81">
        <v>0.5</v>
      </c>
      <c r="D81">
        <v>3</v>
      </c>
      <c r="E81">
        <v>2</v>
      </c>
      <c r="F81" t="s">
        <v>10</v>
      </c>
      <c r="G81" t="s">
        <v>11</v>
      </c>
      <c r="H81" t="s">
        <v>30</v>
      </c>
      <c r="I81">
        <v>87</v>
      </c>
    </row>
    <row r="82" spans="1:9" x14ac:dyDescent="0.3">
      <c r="A82">
        <f t="shared" si="1"/>
        <v>81</v>
      </c>
      <c r="B82">
        <v>0.5</v>
      </c>
      <c r="C82">
        <v>0.25</v>
      </c>
      <c r="D82">
        <v>2</v>
      </c>
      <c r="E82">
        <v>1</v>
      </c>
      <c r="F82" t="s">
        <v>8</v>
      </c>
      <c r="G82" t="s">
        <v>9</v>
      </c>
      <c r="H82" t="s">
        <v>30</v>
      </c>
      <c r="I82">
        <v>64</v>
      </c>
    </row>
    <row r="83" spans="1:9" x14ac:dyDescent="0.3">
      <c r="A83">
        <f t="shared" si="1"/>
        <v>82</v>
      </c>
      <c r="B83">
        <v>0.5</v>
      </c>
      <c r="C83">
        <v>0.75</v>
      </c>
      <c r="D83">
        <v>2</v>
      </c>
      <c r="E83">
        <v>2</v>
      </c>
      <c r="F83" t="s">
        <v>10</v>
      </c>
      <c r="G83" t="s">
        <v>11</v>
      </c>
      <c r="H83" t="s">
        <v>30</v>
      </c>
      <c r="I83">
        <v>88</v>
      </c>
    </row>
    <row r="84" spans="1:9" x14ac:dyDescent="0.3">
      <c r="A84">
        <f t="shared" si="1"/>
        <v>83</v>
      </c>
      <c r="B84">
        <v>0.5</v>
      </c>
      <c r="C84">
        <v>0.25</v>
      </c>
      <c r="D84">
        <v>3</v>
      </c>
      <c r="E84">
        <v>3</v>
      </c>
      <c r="F84" t="s">
        <v>8</v>
      </c>
      <c r="G84" t="s">
        <v>9</v>
      </c>
      <c r="H84" t="s">
        <v>30</v>
      </c>
      <c r="I84">
        <v>65</v>
      </c>
    </row>
    <row r="85" spans="1:9" x14ac:dyDescent="0.3">
      <c r="A85">
        <f t="shared" si="1"/>
        <v>84</v>
      </c>
      <c r="B85">
        <v>0.5</v>
      </c>
      <c r="C85">
        <v>0.25</v>
      </c>
      <c r="D85">
        <v>3</v>
      </c>
      <c r="E85">
        <v>2</v>
      </c>
      <c r="F85" t="s">
        <v>10</v>
      </c>
      <c r="G85" t="s">
        <v>11</v>
      </c>
      <c r="H85" t="s">
        <v>30</v>
      </c>
      <c r="I85">
        <v>89</v>
      </c>
    </row>
    <row r="86" spans="1:9" x14ac:dyDescent="0.3">
      <c r="A86">
        <f t="shared" si="1"/>
        <v>85</v>
      </c>
      <c r="B86">
        <v>0.5</v>
      </c>
      <c r="C86">
        <v>0.5</v>
      </c>
      <c r="D86">
        <v>3</v>
      </c>
      <c r="E86">
        <v>1</v>
      </c>
      <c r="F86" t="s">
        <v>8</v>
      </c>
      <c r="G86" t="s">
        <v>9</v>
      </c>
      <c r="H86" t="s">
        <v>30</v>
      </c>
      <c r="I86">
        <v>66</v>
      </c>
    </row>
    <row r="87" spans="1:9" x14ac:dyDescent="0.3">
      <c r="A87">
        <f t="shared" si="1"/>
        <v>86</v>
      </c>
      <c r="B87">
        <v>0.5</v>
      </c>
      <c r="C87">
        <v>0.5</v>
      </c>
      <c r="D87">
        <v>2</v>
      </c>
      <c r="E87">
        <v>3</v>
      </c>
      <c r="F87" t="s">
        <v>10</v>
      </c>
      <c r="G87" t="s">
        <v>11</v>
      </c>
      <c r="H87" t="s">
        <v>30</v>
      </c>
      <c r="I87">
        <v>90</v>
      </c>
    </row>
    <row r="88" spans="1:9" x14ac:dyDescent="0.3">
      <c r="A88">
        <f t="shared" si="1"/>
        <v>87</v>
      </c>
      <c r="B88">
        <v>0.5</v>
      </c>
      <c r="C88">
        <v>0.5</v>
      </c>
      <c r="D88">
        <v>3</v>
      </c>
      <c r="E88">
        <v>2</v>
      </c>
      <c r="F88" t="s">
        <v>8</v>
      </c>
      <c r="G88" t="s">
        <v>9</v>
      </c>
      <c r="H88" t="s">
        <v>30</v>
      </c>
      <c r="I88">
        <v>67</v>
      </c>
    </row>
    <row r="89" spans="1:9" x14ac:dyDescent="0.3">
      <c r="A89">
        <f t="shared" si="1"/>
        <v>88</v>
      </c>
      <c r="B89">
        <v>0.5</v>
      </c>
      <c r="C89">
        <v>0.25</v>
      </c>
      <c r="D89">
        <v>2</v>
      </c>
      <c r="E89">
        <v>3</v>
      </c>
      <c r="F89" t="s">
        <v>10</v>
      </c>
      <c r="G89" t="s">
        <v>11</v>
      </c>
      <c r="H89" t="s">
        <v>30</v>
      </c>
      <c r="I89">
        <v>91</v>
      </c>
    </row>
    <row r="90" spans="1:9" x14ac:dyDescent="0.3">
      <c r="A90">
        <f t="shared" si="1"/>
        <v>89</v>
      </c>
      <c r="B90">
        <v>0.5</v>
      </c>
      <c r="C90">
        <v>0.75</v>
      </c>
      <c r="D90">
        <v>1</v>
      </c>
      <c r="E90">
        <v>1</v>
      </c>
      <c r="F90" t="s">
        <v>8</v>
      </c>
      <c r="G90" t="s">
        <v>9</v>
      </c>
      <c r="H90" t="s">
        <v>30</v>
      </c>
      <c r="I90">
        <v>68</v>
      </c>
    </row>
    <row r="91" spans="1:9" x14ac:dyDescent="0.3">
      <c r="A91">
        <f t="shared" si="1"/>
        <v>90</v>
      </c>
      <c r="B91">
        <v>0.5</v>
      </c>
      <c r="C91">
        <v>0.25</v>
      </c>
      <c r="D91">
        <v>2</v>
      </c>
      <c r="E91">
        <v>1</v>
      </c>
      <c r="F91" t="s">
        <v>10</v>
      </c>
      <c r="G91" t="s">
        <v>11</v>
      </c>
      <c r="H91" t="s">
        <v>30</v>
      </c>
      <c r="I91">
        <v>92</v>
      </c>
    </row>
    <row r="92" spans="1:9" x14ac:dyDescent="0.3">
      <c r="A92">
        <f t="shared" si="1"/>
        <v>91</v>
      </c>
      <c r="B92">
        <v>0.5</v>
      </c>
      <c r="C92">
        <v>0.25</v>
      </c>
      <c r="D92">
        <v>1</v>
      </c>
      <c r="E92">
        <v>2</v>
      </c>
      <c r="F92" t="s">
        <v>8</v>
      </c>
      <c r="G92" t="s">
        <v>9</v>
      </c>
      <c r="H92" t="s">
        <v>30</v>
      </c>
      <c r="I92">
        <v>69</v>
      </c>
    </row>
    <row r="93" spans="1:9" x14ac:dyDescent="0.3">
      <c r="A93">
        <f t="shared" si="1"/>
        <v>92</v>
      </c>
      <c r="B93">
        <v>0.5</v>
      </c>
      <c r="C93">
        <v>0.75</v>
      </c>
      <c r="D93">
        <v>2</v>
      </c>
      <c r="E93">
        <v>1</v>
      </c>
      <c r="F93" t="s">
        <v>10</v>
      </c>
      <c r="G93" t="s">
        <v>11</v>
      </c>
      <c r="H93" t="s">
        <v>30</v>
      </c>
      <c r="I93">
        <v>93</v>
      </c>
    </row>
    <row r="94" spans="1:9" x14ac:dyDescent="0.3">
      <c r="A94">
        <f t="shared" si="1"/>
        <v>93</v>
      </c>
      <c r="B94">
        <v>0.5</v>
      </c>
      <c r="C94">
        <v>0.75</v>
      </c>
      <c r="D94">
        <v>2</v>
      </c>
      <c r="E94">
        <v>1</v>
      </c>
      <c r="F94" t="s">
        <v>8</v>
      </c>
      <c r="G94" t="s">
        <v>9</v>
      </c>
      <c r="H94" t="s">
        <v>30</v>
      </c>
      <c r="I94">
        <v>70</v>
      </c>
    </row>
    <row r="95" spans="1:9" x14ac:dyDescent="0.3">
      <c r="A95">
        <f t="shared" si="1"/>
        <v>94</v>
      </c>
      <c r="B95">
        <v>0.5</v>
      </c>
      <c r="C95">
        <v>0.75</v>
      </c>
      <c r="D95">
        <v>1</v>
      </c>
      <c r="E95">
        <v>3</v>
      </c>
      <c r="F95" t="s">
        <v>10</v>
      </c>
      <c r="G95" t="s">
        <v>11</v>
      </c>
      <c r="H95" t="s">
        <v>30</v>
      </c>
      <c r="I95">
        <v>94</v>
      </c>
    </row>
    <row r="96" spans="1:9" x14ac:dyDescent="0.3">
      <c r="A96">
        <f t="shared" si="1"/>
        <v>95</v>
      </c>
      <c r="B96">
        <v>0.5</v>
      </c>
      <c r="C96">
        <v>0.75</v>
      </c>
      <c r="D96">
        <v>1</v>
      </c>
      <c r="E96">
        <v>2</v>
      </c>
      <c r="F96" t="s">
        <v>8</v>
      </c>
      <c r="G96" t="s">
        <v>9</v>
      </c>
      <c r="H96" t="s">
        <v>30</v>
      </c>
      <c r="I96">
        <v>71</v>
      </c>
    </row>
    <row r="97" spans="1:9" x14ac:dyDescent="0.3">
      <c r="A97">
        <f t="shared" si="1"/>
        <v>96</v>
      </c>
      <c r="B97">
        <v>0.5</v>
      </c>
      <c r="C97">
        <v>0.75</v>
      </c>
      <c r="D97">
        <v>3</v>
      </c>
      <c r="E97">
        <v>2</v>
      </c>
      <c r="F97" t="s">
        <v>10</v>
      </c>
      <c r="G97" t="s">
        <v>11</v>
      </c>
      <c r="H97" t="s">
        <v>30</v>
      </c>
      <c r="I97">
        <v>95</v>
      </c>
    </row>
    <row r="98" spans="1:9" x14ac:dyDescent="0.3">
      <c r="A98">
        <f t="shared" si="1"/>
        <v>97</v>
      </c>
      <c r="B98">
        <v>0.75</v>
      </c>
      <c r="C98">
        <v>0.5</v>
      </c>
      <c r="D98">
        <v>2</v>
      </c>
      <c r="E98">
        <v>3</v>
      </c>
      <c r="F98" t="s">
        <v>8</v>
      </c>
      <c r="G98" t="s">
        <v>9</v>
      </c>
      <c r="H98" t="s">
        <v>30</v>
      </c>
      <c r="I98">
        <v>96</v>
      </c>
    </row>
    <row r="99" spans="1:9" x14ac:dyDescent="0.3">
      <c r="A99">
        <f t="shared" si="1"/>
        <v>98</v>
      </c>
      <c r="B99">
        <v>0.75</v>
      </c>
      <c r="C99">
        <v>0.75</v>
      </c>
      <c r="D99">
        <v>3</v>
      </c>
      <c r="E99">
        <v>1</v>
      </c>
      <c r="F99" t="s">
        <v>10</v>
      </c>
      <c r="G99" t="s">
        <v>11</v>
      </c>
      <c r="H99" t="s">
        <v>30</v>
      </c>
      <c r="I99">
        <v>120</v>
      </c>
    </row>
    <row r="100" spans="1:9" x14ac:dyDescent="0.3">
      <c r="A100">
        <f t="shared" si="1"/>
        <v>99</v>
      </c>
      <c r="B100">
        <v>0.75</v>
      </c>
      <c r="C100">
        <v>0.5</v>
      </c>
      <c r="D100">
        <v>1</v>
      </c>
      <c r="E100">
        <v>3</v>
      </c>
      <c r="F100" t="s">
        <v>8</v>
      </c>
      <c r="G100" t="s">
        <v>9</v>
      </c>
      <c r="H100" t="s">
        <v>30</v>
      </c>
      <c r="I100">
        <v>97</v>
      </c>
    </row>
    <row r="101" spans="1:9" x14ac:dyDescent="0.3">
      <c r="A101">
        <f t="shared" si="1"/>
        <v>100</v>
      </c>
      <c r="B101">
        <v>0.75</v>
      </c>
      <c r="C101">
        <v>0.25</v>
      </c>
      <c r="D101">
        <v>3</v>
      </c>
      <c r="E101">
        <v>1</v>
      </c>
      <c r="F101" t="s">
        <v>10</v>
      </c>
      <c r="G101" t="s">
        <v>11</v>
      </c>
      <c r="H101" t="s">
        <v>30</v>
      </c>
      <c r="I101">
        <v>121</v>
      </c>
    </row>
    <row r="102" spans="1:9" x14ac:dyDescent="0.3">
      <c r="A102">
        <f t="shared" si="1"/>
        <v>101</v>
      </c>
      <c r="B102">
        <v>0.75</v>
      </c>
      <c r="C102">
        <v>0.5</v>
      </c>
      <c r="D102">
        <v>3</v>
      </c>
      <c r="E102">
        <v>3</v>
      </c>
      <c r="F102" t="s">
        <v>8</v>
      </c>
      <c r="G102" t="s">
        <v>9</v>
      </c>
      <c r="H102" t="s">
        <v>30</v>
      </c>
      <c r="I102">
        <v>98</v>
      </c>
    </row>
    <row r="103" spans="1:9" x14ac:dyDescent="0.3">
      <c r="A103">
        <f t="shared" si="1"/>
        <v>102</v>
      </c>
      <c r="B103">
        <v>0.75</v>
      </c>
      <c r="C103">
        <v>0.25</v>
      </c>
      <c r="D103">
        <v>1</v>
      </c>
      <c r="E103">
        <v>2</v>
      </c>
      <c r="F103" t="s">
        <v>10</v>
      </c>
      <c r="G103" t="s">
        <v>11</v>
      </c>
      <c r="H103" t="s">
        <v>30</v>
      </c>
      <c r="I103">
        <v>122</v>
      </c>
    </row>
    <row r="104" spans="1:9" x14ac:dyDescent="0.3">
      <c r="A104">
        <f t="shared" si="1"/>
        <v>103</v>
      </c>
      <c r="B104">
        <v>0.75</v>
      </c>
      <c r="C104">
        <v>0.75</v>
      </c>
      <c r="D104">
        <v>1</v>
      </c>
      <c r="E104">
        <v>3</v>
      </c>
      <c r="F104" t="s">
        <v>8</v>
      </c>
      <c r="G104" t="s">
        <v>9</v>
      </c>
      <c r="H104" t="s">
        <v>30</v>
      </c>
      <c r="I104">
        <v>99</v>
      </c>
    </row>
    <row r="105" spans="1:9" x14ac:dyDescent="0.3">
      <c r="A105">
        <f t="shared" si="1"/>
        <v>104</v>
      </c>
      <c r="B105">
        <v>0.75</v>
      </c>
      <c r="C105">
        <v>0.75</v>
      </c>
      <c r="D105">
        <v>1</v>
      </c>
      <c r="E105">
        <v>3</v>
      </c>
      <c r="F105" t="s">
        <v>10</v>
      </c>
      <c r="G105" t="s">
        <v>11</v>
      </c>
      <c r="H105" t="s">
        <v>30</v>
      </c>
      <c r="I105">
        <v>123</v>
      </c>
    </row>
    <row r="106" spans="1:9" x14ac:dyDescent="0.3">
      <c r="A106">
        <f t="shared" si="1"/>
        <v>105</v>
      </c>
      <c r="B106">
        <v>0.75</v>
      </c>
      <c r="C106">
        <v>0.25</v>
      </c>
      <c r="D106">
        <v>2</v>
      </c>
      <c r="E106">
        <v>2</v>
      </c>
      <c r="F106" t="s">
        <v>8</v>
      </c>
      <c r="G106" t="s">
        <v>9</v>
      </c>
      <c r="H106" t="s">
        <v>30</v>
      </c>
      <c r="I106">
        <v>100</v>
      </c>
    </row>
    <row r="107" spans="1:9" x14ac:dyDescent="0.3">
      <c r="A107">
        <f t="shared" si="1"/>
        <v>106</v>
      </c>
      <c r="B107">
        <v>0.75</v>
      </c>
      <c r="C107">
        <v>0.25</v>
      </c>
      <c r="D107">
        <v>2</v>
      </c>
      <c r="E107">
        <v>1</v>
      </c>
      <c r="F107" t="s">
        <v>10</v>
      </c>
      <c r="G107" t="s">
        <v>11</v>
      </c>
      <c r="H107" t="s">
        <v>30</v>
      </c>
      <c r="I107">
        <v>124</v>
      </c>
    </row>
    <row r="108" spans="1:9" x14ac:dyDescent="0.3">
      <c r="A108">
        <f t="shared" si="1"/>
        <v>107</v>
      </c>
      <c r="B108">
        <v>0.75</v>
      </c>
      <c r="C108">
        <v>0.75</v>
      </c>
      <c r="D108">
        <v>2</v>
      </c>
      <c r="E108">
        <v>3</v>
      </c>
      <c r="F108" t="s">
        <v>8</v>
      </c>
      <c r="G108" t="s">
        <v>9</v>
      </c>
      <c r="H108" t="s">
        <v>30</v>
      </c>
      <c r="I108">
        <v>101</v>
      </c>
    </row>
    <row r="109" spans="1:9" x14ac:dyDescent="0.3">
      <c r="A109">
        <f t="shared" si="1"/>
        <v>108</v>
      </c>
      <c r="B109">
        <v>0.75</v>
      </c>
      <c r="C109">
        <v>0.75</v>
      </c>
      <c r="D109">
        <v>2</v>
      </c>
      <c r="E109">
        <v>1</v>
      </c>
      <c r="F109" t="s">
        <v>10</v>
      </c>
      <c r="G109" t="s">
        <v>11</v>
      </c>
      <c r="H109" t="s">
        <v>30</v>
      </c>
      <c r="I109">
        <v>125</v>
      </c>
    </row>
    <row r="110" spans="1:9" x14ac:dyDescent="0.3">
      <c r="A110">
        <f t="shared" si="1"/>
        <v>109</v>
      </c>
      <c r="B110">
        <v>0.75</v>
      </c>
      <c r="C110">
        <v>0.75</v>
      </c>
      <c r="D110">
        <v>1</v>
      </c>
      <c r="E110">
        <v>2</v>
      </c>
      <c r="F110" t="s">
        <v>8</v>
      </c>
      <c r="G110" t="s">
        <v>9</v>
      </c>
      <c r="H110" t="s">
        <v>30</v>
      </c>
      <c r="I110">
        <v>102</v>
      </c>
    </row>
    <row r="111" spans="1:9" x14ac:dyDescent="0.3">
      <c r="A111">
        <f t="shared" si="1"/>
        <v>110</v>
      </c>
      <c r="B111">
        <v>0.75</v>
      </c>
      <c r="C111">
        <v>0.25</v>
      </c>
      <c r="D111">
        <v>1</v>
      </c>
      <c r="E111">
        <v>3</v>
      </c>
      <c r="F111" t="s">
        <v>10</v>
      </c>
      <c r="G111" t="s">
        <v>11</v>
      </c>
      <c r="H111" t="s">
        <v>30</v>
      </c>
      <c r="I111">
        <v>126</v>
      </c>
    </row>
    <row r="112" spans="1:9" x14ac:dyDescent="0.3">
      <c r="A112">
        <f t="shared" si="1"/>
        <v>111</v>
      </c>
      <c r="B112">
        <v>0.75</v>
      </c>
      <c r="C112">
        <v>0.25</v>
      </c>
      <c r="D112">
        <v>3</v>
      </c>
      <c r="E112">
        <v>1</v>
      </c>
      <c r="F112" t="s">
        <v>8</v>
      </c>
      <c r="G112" t="s">
        <v>9</v>
      </c>
      <c r="H112" t="s">
        <v>30</v>
      </c>
      <c r="I112">
        <v>103</v>
      </c>
    </row>
    <row r="113" spans="1:9" x14ac:dyDescent="0.3">
      <c r="A113">
        <f t="shared" si="1"/>
        <v>112</v>
      </c>
      <c r="B113">
        <v>0.75</v>
      </c>
      <c r="C113">
        <v>0.5</v>
      </c>
      <c r="D113">
        <v>3</v>
      </c>
      <c r="E113">
        <v>2</v>
      </c>
      <c r="F113" t="s">
        <v>10</v>
      </c>
      <c r="G113" t="s">
        <v>11</v>
      </c>
      <c r="H113" t="s">
        <v>30</v>
      </c>
      <c r="I113">
        <v>127</v>
      </c>
    </row>
    <row r="114" spans="1:9" x14ac:dyDescent="0.3">
      <c r="A114">
        <f t="shared" si="1"/>
        <v>113</v>
      </c>
      <c r="B114">
        <v>0.75</v>
      </c>
      <c r="C114">
        <v>0.75</v>
      </c>
      <c r="D114">
        <v>2</v>
      </c>
      <c r="E114">
        <v>1</v>
      </c>
      <c r="F114" t="s">
        <v>8</v>
      </c>
      <c r="G114" t="s">
        <v>9</v>
      </c>
      <c r="H114" t="s">
        <v>30</v>
      </c>
      <c r="I114">
        <v>104</v>
      </c>
    </row>
    <row r="115" spans="1:9" x14ac:dyDescent="0.3">
      <c r="A115">
        <f t="shared" si="1"/>
        <v>114</v>
      </c>
      <c r="B115">
        <v>0.75</v>
      </c>
      <c r="C115">
        <v>0.5</v>
      </c>
      <c r="D115">
        <v>3</v>
      </c>
      <c r="E115">
        <v>1</v>
      </c>
      <c r="F115" t="s">
        <v>10</v>
      </c>
      <c r="G115" t="s">
        <v>11</v>
      </c>
      <c r="H115" t="s">
        <v>30</v>
      </c>
      <c r="I115">
        <v>128</v>
      </c>
    </row>
    <row r="116" spans="1:9" x14ac:dyDescent="0.3">
      <c r="A116">
        <f t="shared" si="1"/>
        <v>115</v>
      </c>
      <c r="B116">
        <v>0.75</v>
      </c>
      <c r="C116">
        <v>0.5</v>
      </c>
      <c r="D116">
        <v>2</v>
      </c>
      <c r="E116">
        <v>1</v>
      </c>
      <c r="F116" t="s">
        <v>8</v>
      </c>
      <c r="G116" t="s">
        <v>9</v>
      </c>
      <c r="H116" t="s">
        <v>30</v>
      </c>
      <c r="I116">
        <v>105</v>
      </c>
    </row>
    <row r="117" spans="1:9" x14ac:dyDescent="0.3">
      <c r="A117">
        <f t="shared" si="1"/>
        <v>116</v>
      </c>
      <c r="B117">
        <v>0.75</v>
      </c>
      <c r="C117">
        <v>0.5</v>
      </c>
      <c r="D117">
        <v>1</v>
      </c>
      <c r="E117">
        <v>2</v>
      </c>
      <c r="F117" t="s">
        <v>10</v>
      </c>
      <c r="G117" t="s">
        <v>11</v>
      </c>
      <c r="H117" t="s">
        <v>30</v>
      </c>
      <c r="I117">
        <v>129</v>
      </c>
    </row>
    <row r="118" spans="1:9" x14ac:dyDescent="0.3">
      <c r="A118">
        <f t="shared" si="1"/>
        <v>117</v>
      </c>
      <c r="B118">
        <v>0.75</v>
      </c>
      <c r="C118">
        <v>0.5</v>
      </c>
      <c r="D118">
        <v>2</v>
      </c>
      <c r="E118">
        <v>2</v>
      </c>
      <c r="F118" t="s">
        <v>8</v>
      </c>
      <c r="G118" t="s">
        <v>9</v>
      </c>
      <c r="H118" t="s">
        <v>30</v>
      </c>
      <c r="I118">
        <v>106</v>
      </c>
    </row>
    <row r="119" spans="1:9" x14ac:dyDescent="0.3">
      <c r="A119">
        <f t="shared" si="1"/>
        <v>118</v>
      </c>
      <c r="B119">
        <v>0.75</v>
      </c>
      <c r="C119">
        <v>0.25</v>
      </c>
      <c r="D119">
        <v>3</v>
      </c>
      <c r="E119">
        <v>2</v>
      </c>
      <c r="F119" t="s">
        <v>10</v>
      </c>
      <c r="G119" t="s">
        <v>11</v>
      </c>
      <c r="H119" t="s">
        <v>30</v>
      </c>
      <c r="I119">
        <v>130</v>
      </c>
    </row>
    <row r="120" spans="1:9" x14ac:dyDescent="0.3">
      <c r="A120">
        <f t="shared" si="1"/>
        <v>119</v>
      </c>
      <c r="B120">
        <v>0.75</v>
      </c>
      <c r="C120">
        <v>0.75</v>
      </c>
      <c r="D120">
        <v>3</v>
      </c>
      <c r="E120">
        <v>1</v>
      </c>
      <c r="F120" t="s">
        <v>8</v>
      </c>
      <c r="G120" t="s">
        <v>9</v>
      </c>
      <c r="H120" t="s">
        <v>30</v>
      </c>
      <c r="I120">
        <v>107</v>
      </c>
    </row>
    <row r="121" spans="1:9" x14ac:dyDescent="0.3">
      <c r="A121">
        <f t="shared" si="1"/>
        <v>120</v>
      </c>
      <c r="B121">
        <v>0.75</v>
      </c>
      <c r="C121">
        <v>0.25</v>
      </c>
      <c r="D121">
        <v>2</v>
      </c>
      <c r="E121">
        <v>2</v>
      </c>
      <c r="F121" t="s">
        <v>10</v>
      </c>
      <c r="G121" t="s">
        <v>11</v>
      </c>
      <c r="H121" t="s">
        <v>30</v>
      </c>
      <c r="I121">
        <v>131</v>
      </c>
    </row>
    <row r="122" spans="1:9" x14ac:dyDescent="0.3">
      <c r="A122">
        <f t="shared" si="1"/>
        <v>121</v>
      </c>
      <c r="B122">
        <v>0.75</v>
      </c>
      <c r="C122">
        <v>0.25</v>
      </c>
      <c r="D122">
        <v>3</v>
      </c>
      <c r="E122">
        <v>3</v>
      </c>
      <c r="F122" t="s">
        <v>8</v>
      </c>
      <c r="G122" t="s">
        <v>9</v>
      </c>
      <c r="H122" t="s">
        <v>30</v>
      </c>
      <c r="I122">
        <v>108</v>
      </c>
    </row>
    <row r="123" spans="1:9" x14ac:dyDescent="0.3">
      <c r="A123">
        <f t="shared" si="1"/>
        <v>122</v>
      </c>
      <c r="B123">
        <v>0.75</v>
      </c>
      <c r="C123">
        <v>0.5</v>
      </c>
      <c r="D123">
        <v>2</v>
      </c>
      <c r="E123">
        <v>3</v>
      </c>
      <c r="F123" t="s">
        <v>10</v>
      </c>
      <c r="G123" t="s">
        <v>11</v>
      </c>
      <c r="H123" t="s">
        <v>30</v>
      </c>
      <c r="I123">
        <v>132</v>
      </c>
    </row>
    <row r="124" spans="1:9" x14ac:dyDescent="0.3">
      <c r="A124">
        <f t="shared" si="1"/>
        <v>123</v>
      </c>
      <c r="B124">
        <v>0.75</v>
      </c>
      <c r="C124">
        <v>0.5</v>
      </c>
      <c r="D124">
        <v>3</v>
      </c>
      <c r="E124">
        <v>2</v>
      </c>
      <c r="F124" t="s">
        <v>8</v>
      </c>
      <c r="G124" t="s">
        <v>9</v>
      </c>
      <c r="H124" t="s">
        <v>30</v>
      </c>
      <c r="I124">
        <v>109</v>
      </c>
    </row>
    <row r="125" spans="1:9" x14ac:dyDescent="0.3">
      <c r="A125">
        <f t="shared" si="1"/>
        <v>124</v>
      </c>
      <c r="B125">
        <v>0.75</v>
      </c>
      <c r="C125">
        <v>0.5</v>
      </c>
      <c r="D125">
        <v>2</v>
      </c>
      <c r="E125">
        <v>1</v>
      </c>
      <c r="F125" t="s">
        <v>10</v>
      </c>
      <c r="G125" t="s">
        <v>11</v>
      </c>
      <c r="H125" t="s">
        <v>30</v>
      </c>
      <c r="I125">
        <v>133</v>
      </c>
    </row>
    <row r="126" spans="1:9" x14ac:dyDescent="0.3">
      <c r="A126">
        <f t="shared" si="1"/>
        <v>125</v>
      </c>
      <c r="B126">
        <v>0.75</v>
      </c>
      <c r="C126">
        <v>0.25</v>
      </c>
      <c r="D126">
        <v>2</v>
      </c>
      <c r="E126">
        <v>3</v>
      </c>
      <c r="F126" t="s">
        <v>8</v>
      </c>
      <c r="G126" t="s">
        <v>9</v>
      </c>
      <c r="H126" t="s">
        <v>30</v>
      </c>
      <c r="I126">
        <v>110</v>
      </c>
    </row>
    <row r="127" spans="1:9" x14ac:dyDescent="0.3">
      <c r="A127">
        <f t="shared" si="1"/>
        <v>126</v>
      </c>
      <c r="B127">
        <v>0.75</v>
      </c>
      <c r="C127">
        <v>0.25</v>
      </c>
      <c r="D127">
        <v>1</v>
      </c>
      <c r="E127">
        <v>1</v>
      </c>
      <c r="F127" t="s">
        <v>10</v>
      </c>
      <c r="G127" t="s">
        <v>11</v>
      </c>
      <c r="H127" t="s">
        <v>30</v>
      </c>
      <c r="I127">
        <v>134</v>
      </c>
    </row>
    <row r="128" spans="1:9" x14ac:dyDescent="0.3">
      <c r="A128">
        <f t="shared" si="1"/>
        <v>127</v>
      </c>
      <c r="B128">
        <v>0.75</v>
      </c>
      <c r="C128">
        <v>0.25</v>
      </c>
      <c r="D128">
        <v>1</v>
      </c>
      <c r="E128">
        <v>3</v>
      </c>
      <c r="F128" t="s">
        <v>8</v>
      </c>
      <c r="G128" t="s">
        <v>9</v>
      </c>
      <c r="H128" t="s">
        <v>30</v>
      </c>
      <c r="I128">
        <v>111</v>
      </c>
    </row>
    <row r="129" spans="1:9" x14ac:dyDescent="0.3">
      <c r="A129">
        <f t="shared" si="1"/>
        <v>128</v>
      </c>
      <c r="B129">
        <v>0.75</v>
      </c>
      <c r="C129">
        <v>0.5</v>
      </c>
      <c r="D129">
        <v>1</v>
      </c>
      <c r="E129">
        <v>1</v>
      </c>
      <c r="F129" t="s">
        <v>10</v>
      </c>
      <c r="G129" t="s">
        <v>11</v>
      </c>
      <c r="H129" t="s">
        <v>30</v>
      </c>
      <c r="I129">
        <v>135</v>
      </c>
    </row>
    <row r="130" spans="1:9" x14ac:dyDescent="0.3">
      <c r="A130">
        <f t="shared" si="1"/>
        <v>129</v>
      </c>
      <c r="B130">
        <v>0.75</v>
      </c>
      <c r="C130">
        <v>0.5</v>
      </c>
      <c r="D130">
        <v>1</v>
      </c>
      <c r="E130">
        <v>2</v>
      </c>
      <c r="F130" t="s">
        <v>8</v>
      </c>
      <c r="G130" t="s">
        <v>9</v>
      </c>
      <c r="H130" t="s">
        <v>30</v>
      </c>
      <c r="I130">
        <v>112</v>
      </c>
    </row>
    <row r="131" spans="1:9" x14ac:dyDescent="0.3">
      <c r="A131">
        <f t="shared" si="1"/>
        <v>130</v>
      </c>
      <c r="B131">
        <v>0.75</v>
      </c>
      <c r="C131">
        <v>0.75</v>
      </c>
      <c r="D131">
        <v>1</v>
      </c>
      <c r="E131">
        <v>2</v>
      </c>
      <c r="F131" t="s">
        <v>10</v>
      </c>
      <c r="G131" t="s">
        <v>11</v>
      </c>
      <c r="H131" t="s">
        <v>30</v>
      </c>
      <c r="I131">
        <v>136</v>
      </c>
    </row>
    <row r="132" spans="1:9" x14ac:dyDescent="0.3">
      <c r="A132">
        <f t="shared" ref="A132:A145" si="2">+A131+1</f>
        <v>131</v>
      </c>
      <c r="B132">
        <v>0.75</v>
      </c>
      <c r="C132">
        <v>0.5</v>
      </c>
      <c r="D132">
        <v>3</v>
      </c>
      <c r="E132">
        <v>1</v>
      </c>
      <c r="F132" t="s">
        <v>8</v>
      </c>
      <c r="G132" t="s">
        <v>9</v>
      </c>
      <c r="H132" t="s">
        <v>30</v>
      </c>
      <c r="I132">
        <v>113</v>
      </c>
    </row>
    <row r="133" spans="1:9" x14ac:dyDescent="0.3">
      <c r="A133">
        <f t="shared" si="2"/>
        <v>132</v>
      </c>
      <c r="B133">
        <v>0.75</v>
      </c>
      <c r="C133">
        <v>0.25</v>
      </c>
      <c r="D133">
        <v>2</v>
      </c>
      <c r="E133">
        <v>3</v>
      </c>
      <c r="F133" t="s">
        <v>10</v>
      </c>
      <c r="G133" t="s">
        <v>11</v>
      </c>
      <c r="H133" t="s">
        <v>30</v>
      </c>
      <c r="I133">
        <v>137</v>
      </c>
    </row>
    <row r="134" spans="1:9" x14ac:dyDescent="0.3">
      <c r="A134">
        <f t="shared" si="2"/>
        <v>133</v>
      </c>
      <c r="B134">
        <v>0.75</v>
      </c>
      <c r="C134">
        <v>0.5</v>
      </c>
      <c r="D134">
        <v>1</v>
      </c>
      <c r="E134">
        <v>1</v>
      </c>
      <c r="F134" t="s">
        <v>8</v>
      </c>
      <c r="G134" t="s">
        <v>9</v>
      </c>
      <c r="H134" t="s">
        <v>30</v>
      </c>
      <c r="I134">
        <v>114</v>
      </c>
    </row>
    <row r="135" spans="1:9" x14ac:dyDescent="0.3">
      <c r="A135">
        <f t="shared" si="2"/>
        <v>134</v>
      </c>
      <c r="B135">
        <v>0.75</v>
      </c>
      <c r="C135">
        <v>0.5</v>
      </c>
      <c r="D135">
        <v>2</v>
      </c>
      <c r="E135">
        <v>2</v>
      </c>
      <c r="F135" t="s">
        <v>10</v>
      </c>
      <c r="G135" t="s">
        <v>11</v>
      </c>
      <c r="H135" t="s">
        <v>30</v>
      </c>
      <c r="I135">
        <v>138</v>
      </c>
    </row>
    <row r="136" spans="1:9" x14ac:dyDescent="0.3">
      <c r="A136">
        <f t="shared" si="2"/>
        <v>135</v>
      </c>
      <c r="B136">
        <v>0.75</v>
      </c>
      <c r="C136">
        <v>0.25</v>
      </c>
      <c r="D136">
        <v>2</v>
      </c>
      <c r="E136">
        <v>1</v>
      </c>
      <c r="F136" t="s">
        <v>8</v>
      </c>
      <c r="G136" t="s">
        <v>9</v>
      </c>
      <c r="H136" t="s">
        <v>30</v>
      </c>
      <c r="I136">
        <v>115</v>
      </c>
    </row>
    <row r="137" spans="1:9" x14ac:dyDescent="0.3">
      <c r="A137">
        <f t="shared" si="2"/>
        <v>136</v>
      </c>
      <c r="B137">
        <v>0.75</v>
      </c>
      <c r="C137">
        <v>0.25</v>
      </c>
      <c r="D137">
        <v>3</v>
      </c>
      <c r="E137">
        <v>3</v>
      </c>
      <c r="F137" t="s">
        <v>10</v>
      </c>
      <c r="G137" t="s">
        <v>11</v>
      </c>
      <c r="H137" t="s">
        <v>30</v>
      </c>
      <c r="I137">
        <v>139</v>
      </c>
    </row>
    <row r="138" spans="1:9" x14ac:dyDescent="0.3">
      <c r="A138">
        <f t="shared" si="2"/>
        <v>137</v>
      </c>
      <c r="B138">
        <v>0.75</v>
      </c>
      <c r="C138">
        <v>0.25</v>
      </c>
      <c r="D138">
        <v>3</v>
      </c>
      <c r="E138">
        <v>2</v>
      </c>
      <c r="F138" t="s">
        <v>8</v>
      </c>
      <c r="G138" t="s">
        <v>9</v>
      </c>
      <c r="H138" t="s">
        <v>30</v>
      </c>
      <c r="I138">
        <v>116</v>
      </c>
    </row>
    <row r="139" spans="1:9" x14ac:dyDescent="0.3">
      <c r="A139">
        <f t="shared" si="2"/>
        <v>138</v>
      </c>
      <c r="B139">
        <v>0.75</v>
      </c>
      <c r="C139">
        <v>0.75</v>
      </c>
      <c r="D139">
        <v>2</v>
      </c>
      <c r="E139">
        <v>3</v>
      </c>
      <c r="F139" t="s">
        <v>10</v>
      </c>
      <c r="G139" t="s">
        <v>11</v>
      </c>
      <c r="H139" t="s">
        <v>30</v>
      </c>
      <c r="I139">
        <v>140</v>
      </c>
    </row>
    <row r="140" spans="1:9" x14ac:dyDescent="0.3">
      <c r="A140">
        <f t="shared" si="2"/>
        <v>139</v>
      </c>
      <c r="B140">
        <v>0.75</v>
      </c>
      <c r="C140">
        <v>0.75</v>
      </c>
      <c r="D140">
        <v>3</v>
      </c>
      <c r="E140">
        <v>2</v>
      </c>
      <c r="F140" t="s">
        <v>8</v>
      </c>
      <c r="G140" t="s">
        <v>9</v>
      </c>
      <c r="H140" t="s">
        <v>30</v>
      </c>
      <c r="I140">
        <v>117</v>
      </c>
    </row>
    <row r="141" spans="1:9" x14ac:dyDescent="0.3">
      <c r="A141">
        <f t="shared" si="2"/>
        <v>140</v>
      </c>
      <c r="B141">
        <v>0.75</v>
      </c>
      <c r="C141">
        <v>0.75</v>
      </c>
      <c r="D141">
        <v>3</v>
      </c>
      <c r="E141">
        <v>2</v>
      </c>
      <c r="F141" t="s">
        <v>10</v>
      </c>
      <c r="G141" t="s">
        <v>11</v>
      </c>
      <c r="H141" t="s">
        <v>30</v>
      </c>
      <c r="I141">
        <v>141</v>
      </c>
    </row>
    <row r="142" spans="1:9" x14ac:dyDescent="0.3">
      <c r="A142">
        <f t="shared" si="2"/>
        <v>141</v>
      </c>
      <c r="B142">
        <v>0.75</v>
      </c>
      <c r="C142">
        <v>0.25</v>
      </c>
      <c r="D142">
        <v>1</v>
      </c>
      <c r="E142">
        <v>1</v>
      </c>
      <c r="F142" t="s">
        <v>8</v>
      </c>
      <c r="G142" t="s">
        <v>9</v>
      </c>
      <c r="H142" t="s">
        <v>30</v>
      </c>
      <c r="I142">
        <v>118</v>
      </c>
    </row>
    <row r="143" spans="1:9" x14ac:dyDescent="0.3">
      <c r="A143">
        <f t="shared" si="2"/>
        <v>142</v>
      </c>
      <c r="B143">
        <v>0.75</v>
      </c>
      <c r="C143">
        <v>0.5</v>
      </c>
      <c r="D143">
        <v>3</v>
      </c>
      <c r="E143">
        <v>3</v>
      </c>
      <c r="F143" t="s">
        <v>10</v>
      </c>
      <c r="G143" t="s">
        <v>11</v>
      </c>
      <c r="H143" t="s">
        <v>30</v>
      </c>
      <c r="I143">
        <v>142</v>
      </c>
    </row>
    <row r="144" spans="1:9" x14ac:dyDescent="0.3">
      <c r="A144">
        <f t="shared" si="2"/>
        <v>143</v>
      </c>
      <c r="B144">
        <v>0.75</v>
      </c>
      <c r="C144">
        <v>0.25</v>
      </c>
      <c r="D144">
        <v>1</v>
      </c>
      <c r="E144">
        <v>2</v>
      </c>
      <c r="F144" t="s">
        <v>8</v>
      </c>
      <c r="G144" t="s">
        <v>9</v>
      </c>
      <c r="H144" t="s">
        <v>30</v>
      </c>
      <c r="I144">
        <v>119</v>
      </c>
    </row>
    <row r="145" spans="1:9" x14ac:dyDescent="0.3">
      <c r="A145">
        <f t="shared" si="2"/>
        <v>144</v>
      </c>
      <c r="B145">
        <v>0.75</v>
      </c>
      <c r="C145">
        <v>0.5</v>
      </c>
      <c r="D145">
        <v>1</v>
      </c>
      <c r="E145">
        <v>3</v>
      </c>
      <c r="F145" t="s">
        <v>10</v>
      </c>
      <c r="G145" t="s">
        <v>11</v>
      </c>
      <c r="H145" t="s">
        <v>30</v>
      </c>
      <c r="I145">
        <v>143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N164"/>
  <sheetViews>
    <sheetView tabSelected="1" workbookViewId="0"/>
  </sheetViews>
  <sheetFormatPr defaultColWidth="8.88671875" defaultRowHeight="14.4" x14ac:dyDescent="0.3"/>
  <sheetData>
    <row r="1" spans="1:14" x14ac:dyDescent="0.3">
      <c r="A1" s="2" t="s">
        <v>18</v>
      </c>
      <c r="B1" s="2" t="s">
        <v>16</v>
      </c>
      <c r="C1" s="1" t="s">
        <v>23</v>
      </c>
      <c r="D1" t="s">
        <v>25</v>
      </c>
      <c r="E1" t="s">
        <v>26</v>
      </c>
      <c r="F1" t="s">
        <v>28</v>
      </c>
      <c r="G1" s="2" t="s">
        <v>19</v>
      </c>
      <c r="H1" s="2" t="s">
        <v>17</v>
      </c>
      <c r="I1" t="s">
        <v>24</v>
      </c>
      <c r="J1" t="s">
        <v>27</v>
      </c>
      <c r="K1" t="s">
        <v>29</v>
      </c>
      <c r="N1" s="3" t="s">
        <v>35</v>
      </c>
    </row>
    <row r="2" spans="1:14" x14ac:dyDescent="0.3">
      <c r="A2" s="2">
        <v>1</v>
      </c>
      <c r="B2" s="2">
        <f>+VLOOKUP(A2,$D$2:$E$4,2,0)</f>
        <v>3</v>
      </c>
      <c r="C2" s="3">
        <v>0.4515362062045678</v>
      </c>
      <c r="D2">
        <f>+_xlfn.RANK.EQ(C2,$C$2:$C$4,1)</f>
        <v>1</v>
      </c>
      <c r="E2" s="1">
        <v>3</v>
      </c>
      <c r="F2">
        <v>1</v>
      </c>
      <c r="G2" s="2">
        <v>0.25</v>
      </c>
      <c r="H2" s="2" t="str">
        <f>+VLOOKUP(F2,$J$2:$K$4,2,0)</f>
        <v>gold</v>
      </c>
      <c r="I2" s="3">
        <v>0.95060593680011718</v>
      </c>
      <c r="J2">
        <f>+_xlfn.RANK.EQ(I2,$I$2:$I$4,1)</f>
        <v>3</v>
      </c>
      <c r="K2" s="1" t="s">
        <v>20</v>
      </c>
      <c r="N2" s="3">
        <f ca="1">+RAND()</f>
        <v>0.62324091097413015</v>
      </c>
    </row>
    <row r="3" spans="1:14" x14ac:dyDescent="0.3">
      <c r="A3" s="2">
        <v>2</v>
      </c>
      <c r="B3" s="2">
        <f>+VLOOKUP(A3,$D$2:$E$4,2,0)</f>
        <v>4</v>
      </c>
      <c r="C3" s="3">
        <v>0.58516887705646103</v>
      </c>
      <c r="D3">
        <f>+_xlfn.RANK.EQ(C3,$C$2:$C$4,1)</f>
        <v>2</v>
      </c>
      <c r="E3" s="1">
        <v>4</v>
      </c>
      <c r="F3">
        <v>2</v>
      </c>
      <c r="G3" s="2">
        <v>0.5</v>
      </c>
      <c r="H3" s="2" t="str">
        <f>+VLOOKUP(F3,$J$2:$K$4,2,0)</f>
        <v>DeepSkyBlue</v>
      </c>
      <c r="I3" s="3">
        <v>0.73817239851280569</v>
      </c>
      <c r="J3">
        <f>+_xlfn.RANK.EQ(I3,$I$2:$I$4,1)</f>
        <v>1</v>
      </c>
      <c r="K3" s="1" t="s">
        <v>21</v>
      </c>
    </row>
    <row r="4" spans="1:14" x14ac:dyDescent="0.3">
      <c r="A4" s="2">
        <v>3</v>
      </c>
      <c r="B4" s="2">
        <f>+VLOOKUP(A4,$D$2:$E$4,2,0)</f>
        <v>90</v>
      </c>
      <c r="C4" s="3">
        <v>0.83859806475375875</v>
      </c>
      <c r="D4">
        <f>+_xlfn.RANK.EQ(C4,$C$2:$C$4,1)</f>
        <v>3</v>
      </c>
      <c r="E4" s="1">
        <v>90</v>
      </c>
      <c r="F4">
        <v>3</v>
      </c>
      <c r="G4" s="2">
        <v>0.75</v>
      </c>
      <c r="H4" s="2" t="str">
        <f>+VLOOKUP(F4,$J$2:$K$4,2,0)</f>
        <v>Fuchsia</v>
      </c>
      <c r="I4" s="3">
        <v>0.8211674016318834</v>
      </c>
      <c r="J4">
        <f>+_xlfn.RANK.EQ(I4,$I$2:$I$4,1)</f>
        <v>2</v>
      </c>
      <c r="K4" s="1" t="s">
        <v>22</v>
      </c>
    </row>
    <row r="9" spans="1:14" x14ac:dyDescent="0.3">
      <c r="B9" t="s">
        <v>31</v>
      </c>
      <c r="C9" t="s">
        <v>32</v>
      </c>
      <c r="D9" t="s">
        <v>33</v>
      </c>
      <c r="E9" t="s">
        <v>34</v>
      </c>
    </row>
    <row r="10" spans="1:14" x14ac:dyDescent="0.3">
      <c r="B10">
        <v>0.25</v>
      </c>
      <c r="C10">
        <v>0.25</v>
      </c>
      <c r="D10">
        <v>1</v>
      </c>
      <c r="E10">
        <v>1</v>
      </c>
    </row>
    <row r="11" spans="1:14" x14ac:dyDescent="0.3">
      <c r="B11">
        <v>0.25</v>
      </c>
      <c r="C11">
        <v>0.25</v>
      </c>
      <c r="D11">
        <v>2</v>
      </c>
      <c r="E11">
        <v>2</v>
      </c>
    </row>
    <row r="12" spans="1:14" x14ac:dyDescent="0.3">
      <c r="B12">
        <v>0.25</v>
      </c>
      <c r="C12">
        <v>0.25</v>
      </c>
      <c r="D12">
        <v>3</v>
      </c>
      <c r="E12">
        <v>3</v>
      </c>
    </row>
    <row r="13" spans="1:14" x14ac:dyDescent="0.3">
      <c r="B13">
        <v>0.5</v>
      </c>
      <c r="C13">
        <v>0.5</v>
      </c>
      <c r="D13">
        <v>1</v>
      </c>
      <c r="E13">
        <v>1</v>
      </c>
    </row>
    <row r="14" spans="1:14" x14ac:dyDescent="0.3">
      <c r="B14">
        <v>0.5</v>
      </c>
      <c r="C14">
        <v>0.5</v>
      </c>
      <c r="D14">
        <v>2</v>
      </c>
      <c r="E14">
        <v>2</v>
      </c>
    </row>
    <row r="15" spans="1:14" x14ac:dyDescent="0.3">
      <c r="B15">
        <v>0.5</v>
      </c>
      <c r="C15">
        <v>0.5</v>
      </c>
      <c r="D15">
        <v>3</v>
      </c>
      <c r="E15">
        <v>3</v>
      </c>
    </row>
    <row r="16" spans="1:14" x14ac:dyDescent="0.3">
      <c r="B16">
        <v>0.75</v>
      </c>
      <c r="C16">
        <v>0.75</v>
      </c>
      <c r="D16">
        <v>1</v>
      </c>
      <c r="E16">
        <v>1</v>
      </c>
    </row>
    <row r="17" spans="2:5" x14ac:dyDescent="0.3">
      <c r="B17">
        <v>0.75</v>
      </c>
      <c r="C17">
        <v>0.75</v>
      </c>
      <c r="D17">
        <v>2</v>
      </c>
      <c r="E17">
        <v>2</v>
      </c>
    </row>
    <row r="18" spans="2:5" x14ac:dyDescent="0.3">
      <c r="B18">
        <v>0.75</v>
      </c>
      <c r="C18">
        <v>0.75</v>
      </c>
      <c r="D18">
        <v>3</v>
      </c>
      <c r="E18">
        <v>3</v>
      </c>
    </row>
    <row r="20" spans="2:5" x14ac:dyDescent="0.3">
      <c r="C20" t="s">
        <v>36</v>
      </c>
      <c r="D20" t="s">
        <v>37</v>
      </c>
    </row>
    <row r="21" spans="2:5" x14ac:dyDescent="0.3">
      <c r="C21" s="3">
        <v>0.34684959369230528</v>
      </c>
      <c r="D21">
        <f>+_xlfn.RANK.EQ(C21,$C$21:$C$164,1)</f>
        <v>55</v>
      </c>
    </row>
    <row r="22" spans="2:5" x14ac:dyDescent="0.3">
      <c r="C22" s="3">
        <v>0.42746466000342975</v>
      </c>
      <c r="D22">
        <f t="shared" ref="D22:D85" si="0">+_xlfn.RANK.EQ(C22,$C$21:$C$164,1)</f>
        <v>68</v>
      </c>
    </row>
    <row r="23" spans="2:5" x14ac:dyDescent="0.3">
      <c r="C23" s="3">
        <v>0.3477282648499892</v>
      </c>
      <c r="D23">
        <f t="shared" si="0"/>
        <v>56</v>
      </c>
    </row>
    <row r="24" spans="2:5" x14ac:dyDescent="0.3">
      <c r="C24" s="3">
        <v>0.99376374121965205</v>
      </c>
      <c r="D24">
        <f t="shared" si="0"/>
        <v>144</v>
      </c>
    </row>
    <row r="25" spans="2:5" x14ac:dyDescent="0.3">
      <c r="C25" s="3">
        <v>0.90713958451701382</v>
      </c>
      <c r="D25">
        <f t="shared" si="0"/>
        <v>135</v>
      </c>
    </row>
    <row r="26" spans="2:5" x14ac:dyDescent="0.3">
      <c r="C26" s="3">
        <v>0.59961355230300806</v>
      </c>
      <c r="D26">
        <f t="shared" si="0"/>
        <v>93</v>
      </c>
    </row>
    <row r="27" spans="2:5" x14ac:dyDescent="0.3">
      <c r="C27" s="3">
        <v>0.4369125293500572</v>
      </c>
      <c r="D27">
        <f t="shared" si="0"/>
        <v>69</v>
      </c>
    </row>
    <row r="28" spans="2:5" x14ac:dyDescent="0.3">
      <c r="C28" s="3">
        <v>0.28717551514343853</v>
      </c>
      <c r="D28">
        <f t="shared" si="0"/>
        <v>45</v>
      </c>
    </row>
    <row r="29" spans="2:5" x14ac:dyDescent="0.3">
      <c r="C29" s="3">
        <v>0.77326700337118981</v>
      </c>
      <c r="D29">
        <f t="shared" si="0"/>
        <v>121</v>
      </c>
    </row>
    <row r="30" spans="2:5" x14ac:dyDescent="0.3">
      <c r="C30" s="3">
        <v>2.6840281866218674E-2</v>
      </c>
      <c r="D30">
        <f t="shared" si="0"/>
        <v>2</v>
      </c>
    </row>
    <row r="31" spans="2:5" x14ac:dyDescent="0.3">
      <c r="C31" s="3">
        <v>0.98644131201332852</v>
      </c>
      <c r="D31">
        <f t="shared" si="0"/>
        <v>142</v>
      </c>
    </row>
    <row r="32" spans="2:5" x14ac:dyDescent="0.3">
      <c r="C32" s="3">
        <v>0.49511250107890081</v>
      </c>
      <c r="D32">
        <f t="shared" si="0"/>
        <v>81</v>
      </c>
    </row>
    <row r="33" spans="3:4" x14ac:dyDescent="0.3">
      <c r="C33" s="3">
        <v>0.58093137868293054</v>
      </c>
      <c r="D33">
        <f t="shared" si="0"/>
        <v>91</v>
      </c>
    </row>
    <row r="34" spans="3:4" x14ac:dyDescent="0.3">
      <c r="C34" s="3">
        <v>0.40296773475162884</v>
      </c>
      <c r="D34">
        <f t="shared" si="0"/>
        <v>62</v>
      </c>
    </row>
    <row r="35" spans="3:4" x14ac:dyDescent="0.3">
      <c r="C35" s="3">
        <v>0.56703730458553636</v>
      </c>
      <c r="D35">
        <f t="shared" si="0"/>
        <v>87</v>
      </c>
    </row>
    <row r="36" spans="3:4" x14ac:dyDescent="0.3">
      <c r="C36" s="3">
        <v>0.16325603071972128</v>
      </c>
      <c r="D36">
        <f t="shared" si="0"/>
        <v>29</v>
      </c>
    </row>
    <row r="37" spans="3:4" x14ac:dyDescent="0.3">
      <c r="C37" s="3">
        <v>4.4359707367372159E-2</v>
      </c>
      <c r="D37">
        <f t="shared" si="0"/>
        <v>4</v>
      </c>
    </row>
    <row r="38" spans="3:4" x14ac:dyDescent="0.3">
      <c r="C38" s="3">
        <v>0.69556363971768376</v>
      </c>
      <c r="D38">
        <f t="shared" si="0"/>
        <v>108</v>
      </c>
    </row>
    <row r="39" spans="3:4" x14ac:dyDescent="0.3">
      <c r="C39" s="3">
        <v>0.5471683559324928</v>
      </c>
      <c r="D39">
        <f t="shared" si="0"/>
        <v>85</v>
      </c>
    </row>
    <row r="40" spans="3:4" x14ac:dyDescent="0.3">
      <c r="C40" s="3">
        <v>0.377354456300795</v>
      </c>
      <c r="D40">
        <f t="shared" si="0"/>
        <v>60</v>
      </c>
    </row>
    <row r="41" spans="3:4" x14ac:dyDescent="0.3">
      <c r="C41" s="3">
        <v>0.49294644874809068</v>
      </c>
      <c r="D41">
        <f t="shared" si="0"/>
        <v>80</v>
      </c>
    </row>
    <row r="42" spans="3:4" x14ac:dyDescent="0.3">
      <c r="C42" s="3">
        <v>0.41567311332333501</v>
      </c>
      <c r="D42">
        <f t="shared" si="0"/>
        <v>65</v>
      </c>
    </row>
    <row r="43" spans="3:4" x14ac:dyDescent="0.3">
      <c r="C43" s="3">
        <v>0.36347013687888219</v>
      </c>
      <c r="D43">
        <f t="shared" si="0"/>
        <v>59</v>
      </c>
    </row>
    <row r="44" spans="3:4" x14ac:dyDescent="0.3">
      <c r="C44" s="3">
        <v>0.59797550691083001</v>
      </c>
      <c r="D44">
        <f t="shared" si="0"/>
        <v>92</v>
      </c>
    </row>
    <row r="45" spans="3:4" x14ac:dyDescent="0.3">
      <c r="C45" s="3">
        <v>0.73924379464033829</v>
      </c>
      <c r="D45">
        <f t="shared" si="0"/>
        <v>114</v>
      </c>
    </row>
    <row r="46" spans="3:4" x14ac:dyDescent="0.3">
      <c r="C46" s="3">
        <v>0.80418137793835798</v>
      </c>
      <c r="D46">
        <f t="shared" si="0"/>
        <v>122</v>
      </c>
    </row>
    <row r="47" spans="3:4" x14ac:dyDescent="0.3">
      <c r="C47" s="3">
        <v>0.18629255996525718</v>
      </c>
      <c r="D47">
        <f t="shared" si="0"/>
        <v>35</v>
      </c>
    </row>
    <row r="48" spans="3:4" x14ac:dyDescent="0.3">
      <c r="C48" s="3">
        <v>7.5949187430548015E-2</v>
      </c>
      <c r="D48">
        <f t="shared" si="0"/>
        <v>15</v>
      </c>
    </row>
    <row r="49" spans="3:4" x14ac:dyDescent="0.3">
      <c r="C49" s="3">
        <v>0.6370548203816333</v>
      </c>
      <c r="D49">
        <f t="shared" si="0"/>
        <v>101</v>
      </c>
    </row>
    <row r="50" spans="3:4" x14ac:dyDescent="0.3">
      <c r="C50" s="3">
        <v>0.35408343635546247</v>
      </c>
      <c r="D50">
        <f t="shared" si="0"/>
        <v>57</v>
      </c>
    </row>
    <row r="51" spans="3:4" x14ac:dyDescent="0.3">
      <c r="C51" s="3">
        <v>0.96459876320471638</v>
      </c>
      <c r="D51">
        <f t="shared" si="0"/>
        <v>140</v>
      </c>
    </row>
    <row r="52" spans="3:4" x14ac:dyDescent="0.3">
      <c r="C52" s="3">
        <v>0.49623600291007663</v>
      </c>
      <c r="D52">
        <f t="shared" si="0"/>
        <v>82</v>
      </c>
    </row>
    <row r="53" spans="3:4" x14ac:dyDescent="0.3">
      <c r="C53" s="3">
        <v>0.30911304126253702</v>
      </c>
      <c r="D53">
        <f t="shared" si="0"/>
        <v>50</v>
      </c>
    </row>
    <row r="54" spans="3:4" x14ac:dyDescent="0.3">
      <c r="C54" s="3">
        <v>0.34262601880919841</v>
      </c>
      <c r="D54">
        <f t="shared" si="0"/>
        <v>54</v>
      </c>
    </row>
    <row r="55" spans="3:4" x14ac:dyDescent="0.3">
      <c r="C55" s="3">
        <v>9.6069804542861847E-2</v>
      </c>
      <c r="D55">
        <f t="shared" si="0"/>
        <v>19</v>
      </c>
    </row>
    <row r="56" spans="3:4" x14ac:dyDescent="0.3">
      <c r="C56" s="3">
        <v>0.66306468178105216</v>
      </c>
      <c r="D56">
        <f t="shared" si="0"/>
        <v>106</v>
      </c>
    </row>
    <row r="57" spans="3:4" x14ac:dyDescent="0.3">
      <c r="C57" s="3">
        <v>0.76728465202334817</v>
      </c>
      <c r="D57">
        <f t="shared" si="0"/>
        <v>120</v>
      </c>
    </row>
    <row r="58" spans="3:4" x14ac:dyDescent="0.3">
      <c r="C58" s="3">
        <v>0.31319476012412195</v>
      </c>
      <c r="D58">
        <f t="shared" si="0"/>
        <v>51</v>
      </c>
    </row>
    <row r="59" spans="3:4" x14ac:dyDescent="0.3">
      <c r="C59" s="3">
        <v>0.45010963228417067</v>
      </c>
      <c r="D59">
        <f t="shared" si="0"/>
        <v>72</v>
      </c>
    </row>
    <row r="60" spans="3:4" x14ac:dyDescent="0.3">
      <c r="C60" s="3">
        <v>0.73556285058031212</v>
      </c>
      <c r="D60">
        <f t="shared" si="0"/>
        <v>112</v>
      </c>
    </row>
    <row r="61" spans="3:4" x14ac:dyDescent="0.3">
      <c r="C61" s="3">
        <v>0.55393822413461535</v>
      </c>
      <c r="D61">
        <f t="shared" si="0"/>
        <v>86</v>
      </c>
    </row>
    <row r="62" spans="3:4" x14ac:dyDescent="0.3">
      <c r="C62" s="3">
        <v>0.49929825179353027</v>
      </c>
      <c r="D62">
        <f t="shared" si="0"/>
        <v>83</v>
      </c>
    </row>
    <row r="63" spans="3:4" x14ac:dyDescent="0.3">
      <c r="C63" s="3">
        <v>0.91162047019096615</v>
      </c>
      <c r="D63">
        <f t="shared" si="0"/>
        <v>136</v>
      </c>
    </row>
    <row r="64" spans="3:4" x14ac:dyDescent="0.3">
      <c r="C64" s="3">
        <v>0.50337685750258854</v>
      </c>
      <c r="D64">
        <f t="shared" si="0"/>
        <v>84</v>
      </c>
    </row>
    <row r="65" spans="3:4" x14ac:dyDescent="0.3">
      <c r="C65" s="3">
        <v>0.14561574448464221</v>
      </c>
      <c r="D65">
        <f t="shared" si="0"/>
        <v>27</v>
      </c>
    </row>
    <row r="66" spans="3:4" x14ac:dyDescent="0.3">
      <c r="C66" s="3">
        <v>0.46411638207000527</v>
      </c>
      <c r="D66">
        <f t="shared" si="0"/>
        <v>76</v>
      </c>
    </row>
    <row r="67" spans="3:4" x14ac:dyDescent="0.3">
      <c r="C67" s="3">
        <v>0.9020048591856239</v>
      </c>
      <c r="D67">
        <f t="shared" si="0"/>
        <v>134</v>
      </c>
    </row>
    <row r="68" spans="3:4" x14ac:dyDescent="0.3">
      <c r="C68" s="3">
        <v>0.24625611514981049</v>
      </c>
      <c r="D68">
        <f t="shared" si="0"/>
        <v>42</v>
      </c>
    </row>
    <row r="69" spans="3:4" x14ac:dyDescent="0.3">
      <c r="C69" s="3">
        <v>0.75520086827531741</v>
      </c>
      <c r="D69">
        <f t="shared" si="0"/>
        <v>117</v>
      </c>
    </row>
    <row r="70" spans="3:4" x14ac:dyDescent="0.3">
      <c r="C70" s="3">
        <v>0.74246627468363358</v>
      </c>
      <c r="D70">
        <f t="shared" si="0"/>
        <v>115</v>
      </c>
    </row>
    <row r="71" spans="3:4" x14ac:dyDescent="0.3">
      <c r="C71" s="3">
        <v>0.11861235600481723</v>
      </c>
      <c r="D71">
        <f t="shared" si="0"/>
        <v>20</v>
      </c>
    </row>
    <row r="72" spans="3:4" x14ac:dyDescent="0.3">
      <c r="C72" s="3">
        <v>0.4697283556967865</v>
      </c>
      <c r="D72">
        <f t="shared" si="0"/>
        <v>77</v>
      </c>
    </row>
    <row r="73" spans="3:4" x14ac:dyDescent="0.3">
      <c r="C73" s="3">
        <v>0.93302852163212191</v>
      </c>
      <c r="D73">
        <f t="shared" si="0"/>
        <v>137</v>
      </c>
    </row>
    <row r="74" spans="3:4" x14ac:dyDescent="0.3">
      <c r="C74" s="3">
        <v>7.7436841475729157E-2</v>
      </c>
      <c r="D74">
        <f t="shared" si="0"/>
        <v>16</v>
      </c>
    </row>
    <row r="75" spans="3:4" x14ac:dyDescent="0.3">
      <c r="C75" s="3">
        <v>0.57352989839054946</v>
      </c>
      <c r="D75">
        <f t="shared" si="0"/>
        <v>89</v>
      </c>
    </row>
    <row r="76" spans="3:4" x14ac:dyDescent="0.3">
      <c r="C76" s="3">
        <v>0.27423714200624993</v>
      </c>
      <c r="D76">
        <f t="shared" si="0"/>
        <v>44</v>
      </c>
    </row>
    <row r="77" spans="3:4" x14ac:dyDescent="0.3">
      <c r="C77" s="3">
        <v>0.29544210540784421</v>
      </c>
      <c r="D77">
        <f t="shared" si="0"/>
        <v>46</v>
      </c>
    </row>
    <row r="78" spans="3:4" x14ac:dyDescent="0.3">
      <c r="C78" s="3">
        <v>0.65513749268140764</v>
      </c>
      <c r="D78">
        <f t="shared" si="0"/>
        <v>104</v>
      </c>
    </row>
    <row r="79" spans="3:4" x14ac:dyDescent="0.3">
      <c r="C79" s="3">
        <v>0.18219563159859398</v>
      </c>
      <c r="D79">
        <f t="shared" si="0"/>
        <v>33</v>
      </c>
    </row>
    <row r="80" spans="3:4" x14ac:dyDescent="0.3">
      <c r="C80" s="3">
        <v>7.0642544487357295E-2</v>
      </c>
      <c r="D80">
        <f t="shared" si="0"/>
        <v>13</v>
      </c>
    </row>
    <row r="81" spans="3:4" x14ac:dyDescent="0.3">
      <c r="C81" s="3">
        <v>0.30126673335739051</v>
      </c>
      <c r="D81">
        <f t="shared" si="0"/>
        <v>49</v>
      </c>
    </row>
    <row r="82" spans="3:4" x14ac:dyDescent="0.3">
      <c r="C82" s="3">
        <v>9.5503374505612193E-2</v>
      </c>
      <c r="D82">
        <f t="shared" si="0"/>
        <v>18</v>
      </c>
    </row>
    <row r="83" spans="3:4" x14ac:dyDescent="0.3">
      <c r="C83" s="3">
        <v>0.18158193574578674</v>
      </c>
      <c r="D83">
        <f t="shared" si="0"/>
        <v>32</v>
      </c>
    </row>
    <row r="84" spans="3:4" x14ac:dyDescent="0.3">
      <c r="C84" s="3">
        <v>0.6519721858725801</v>
      </c>
      <c r="D84">
        <f t="shared" si="0"/>
        <v>103</v>
      </c>
    </row>
    <row r="85" spans="3:4" x14ac:dyDescent="0.3">
      <c r="C85" s="3">
        <v>0.45920066807487647</v>
      </c>
      <c r="D85">
        <f t="shared" si="0"/>
        <v>74</v>
      </c>
    </row>
    <row r="86" spans="3:4" x14ac:dyDescent="0.3">
      <c r="C86" s="3">
        <v>0.22942718109694826</v>
      </c>
      <c r="D86">
        <f t="shared" ref="D86:D149" si="1">+_xlfn.RANK.EQ(C86,$C$21:$C$164,1)</f>
        <v>40</v>
      </c>
    </row>
    <row r="87" spans="3:4" x14ac:dyDescent="0.3">
      <c r="C87" s="3">
        <v>0.33585345706498471</v>
      </c>
      <c r="D87">
        <f t="shared" si="1"/>
        <v>53</v>
      </c>
    </row>
    <row r="88" spans="3:4" x14ac:dyDescent="0.3">
      <c r="C88" s="3">
        <v>0.63414752714817291</v>
      </c>
      <c r="D88">
        <f t="shared" si="1"/>
        <v>100</v>
      </c>
    </row>
    <row r="89" spans="3:4" x14ac:dyDescent="0.3">
      <c r="C89" s="3">
        <v>0.20632000433892395</v>
      </c>
      <c r="D89">
        <f t="shared" si="1"/>
        <v>38</v>
      </c>
    </row>
    <row r="90" spans="3:4" x14ac:dyDescent="0.3">
      <c r="C90" s="3">
        <v>0.2440889606110811</v>
      </c>
      <c r="D90">
        <f t="shared" si="1"/>
        <v>41</v>
      </c>
    </row>
    <row r="91" spans="3:4" x14ac:dyDescent="0.3">
      <c r="C91" s="3">
        <v>0.12820365157798541</v>
      </c>
      <c r="D91">
        <f t="shared" si="1"/>
        <v>22</v>
      </c>
    </row>
    <row r="92" spans="3:4" x14ac:dyDescent="0.3">
      <c r="C92" s="3">
        <v>0.84545084093105094</v>
      </c>
      <c r="D92">
        <f t="shared" si="1"/>
        <v>126</v>
      </c>
    </row>
    <row r="93" spans="3:4" x14ac:dyDescent="0.3">
      <c r="C93" s="3">
        <v>0.42492632059944124</v>
      </c>
      <c r="D93">
        <f t="shared" si="1"/>
        <v>67</v>
      </c>
    </row>
    <row r="94" spans="3:4" x14ac:dyDescent="0.3">
      <c r="C94" s="3">
        <v>0.17170936850007168</v>
      </c>
      <c r="D94">
        <f t="shared" si="1"/>
        <v>30</v>
      </c>
    </row>
    <row r="95" spans="3:4" x14ac:dyDescent="0.3">
      <c r="C95" s="3">
        <v>4.7684730349749183E-2</v>
      </c>
      <c r="D95">
        <f t="shared" si="1"/>
        <v>7</v>
      </c>
    </row>
    <row r="96" spans="3:4" x14ac:dyDescent="0.3">
      <c r="C96" s="3">
        <v>0.45852602557290678</v>
      </c>
      <c r="D96">
        <f t="shared" si="1"/>
        <v>73</v>
      </c>
    </row>
    <row r="97" spans="3:4" x14ac:dyDescent="0.3">
      <c r="C97" s="3">
        <v>0.14348759740460681</v>
      </c>
      <c r="D97">
        <f t="shared" si="1"/>
        <v>26</v>
      </c>
    </row>
    <row r="98" spans="3:4" x14ac:dyDescent="0.3">
      <c r="C98" s="3">
        <v>0.1566050406656444</v>
      </c>
      <c r="D98">
        <f t="shared" si="1"/>
        <v>28</v>
      </c>
    </row>
    <row r="99" spans="3:4" x14ac:dyDescent="0.3">
      <c r="C99" s="3">
        <v>0.87831086899297406</v>
      </c>
      <c r="D99">
        <f t="shared" si="1"/>
        <v>130</v>
      </c>
    </row>
    <row r="100" spans="3:4" x14ac:dyDescent="0.3">
      <c r="C100" s="3">
        <v>0.64593039939098795</v>
      </c>
      <c r="D100">
        <f t="shared" si="1"/>
        <v>102</v>
      </c>
    </row>
    <row r="101" spans="3:4" x14ac:dyDescent="0.3">
      <c r="C101" s="3">
        <v>0.73596339180060055</v>
      </c>
      <c r="D101">
        <f t="shared" si="1"/>
        <v>113</v>
      </c>
    </row>
    <row r="102" spans="3:4" x14ac:dyDescent="0.3">
      <c r="C102" s="3">
        <v>0.31707499824247687</v>
      </c>
      <c r="D102">
        <f t="shared" si="1"/>
        <v>52</v>
      </c>
    </row>
    <row r="103" spans="3:4" x14ac:dyDescent="0.3">
      <c r="C103" s="3">
        <v>0.85566632197497661</v>
      </c>
      <c r="D103">
        <f t="shared" si="1"/>
        <v>128</v>
      </c>
    </row>
    <row r="104" spans="3:4" x14ac:dyDescent="0.3">
      <c r="C104" s="3">
        <v>0.19359203150183046</v>
      </c>
      <c r="D104">
        <f t="shared" si="1"/>
        <v>36</v>
      </c>
    </row>
    <row r="105" spans="3:4" x14ac:dyDescent="0.3">
      <c r="C105" s="3">
        <v>0.82431567980245801</v>
      </c>
      <c r="D105">
        <f t="shared" si="1"/>
        <v>124</v>
      </c>
    </row>
    <row r="106" spans="3:4" x14ac:dyDescent="0.3">
      <c r="C106" s="3">
        <v>0.61016722463926443</v>
      </c>
      <c r="D106">
        <f t="shared" si="1"/>
        <v>95</v>
      </c>
    </row>
    <row r="107" spans="3:4" x14ac:dyDescent="0.3">
      <c r="C107" s="3">
        <v>4.5837126674438289E-2</v>
      </c>
      <c r="D107">
        <f t="shared" si="1"/>
        <v>5</v>
      </c>
    </row>
    <row r="108" spans="3:4" x14ac:dyDescent="0.3">
      <c r="C108" s="3">
        <v>0.87582825270306663</v>
      </c>
      <c r="D108">
        <f t="shared" si="1"/>
        <v>129</v>
      </c>
    </row>
    <row r="109" spans="3:4" x14ac:dyDescent="0.3">
      <c r="C109" s="3">
        <v>0.12132275831629535</v>
      </c>
      <c r="D109">
        <f t="shared" si="1"/>
        <v>21</v>
      </c>
    </row>
    <row r="110" spans="3:4" x14ac:dyDescent="0.3">
      <c r="C110" s="3">
        <v>0.62763288378574478</v>
      </c>
      <c r="D110">
        <f t="shared" si="1"/>
        <v>98</v>
      </c>
    </row>
    <row r="111" spans="3:4" x14ac:dyDescent="0.3">
      <c r="C111" s="3">
        <v>0.80552825816902407</v>
      </c>
      <c r="D111">
        <f t="shared" si="1"/>
        <v>123</v>
      </c>
    </row>
    <row r="112" spans="3:4" x14ac:dyDescent="0.3">
      <c r="C112" s="3">
        <v>0.60786291212903398</v>
      </c>
      <c r="D112">
        <f t="shared" si="1"/>
        <v>94</v>
      </c>
    </row>
    <row r="113" spans="3:4" x14ac:dyDescent="0.3">
      <c r="C113" s="3">
        <v>0.56804781625099388</v>
      </c>
      <c r="D113">
        <f t="shared" si="1"/>
        <v>88</v>
      </c>
    </row>
    <row r="114" spans="3:4" x14ac:dyDescent="0.3">
      <c r="C114" s="3">
        <v>0.72490991174003394</v>
      </c>
      <c r="D114">
        <f t="shared" si="1"/>
        <v>110</v>
      </c>
    </row>
    <row r="115" spans="3:4" x14ac:dyDescent="0.3">
      <c r="C115" s="3">
        <v>0.62541896990407575</v>
      </c>
      <c r="D115">
        <f t="shared" si="1"/>
        <v>97</v>
      </c>
    </row>
    <row r="116" spans="3:4" x14ac:dyDescent="0.3">
      <c r="C116" s="3">
        <v>0.2037148399645079</v>
      </c>
      <c r="D116">
        <f t="shared" si="1"/>
        <v>37</v>
      </c>
    </row>
    <row r="117" spans="3:4" x14ac:dyDescent="0.3">
      <c r="C117" s="3">
        <v>0.71059222414636558</v>
      </c>
      <c r="D117">
        <f t="shared" si="1"/>
        <v>109</v>
      </c>
    </row>
    <row r="118" spans="3:4" x14ac:dyDescent="0.3">
      <c r="C118" s="3">
        <v>6.970570206036808E-2</v>
      </c>
      <c r="D118">
        <f t="shared" si="1"/>
        <v>12</v>
      </c>
    </row>
    <row r="119" spans="3:4" x14ac:dyDescent="0.3">
      <c r="C119" s="3">
        <v>8.4512974183894585E-2</v>
      </c>
      <c r="D119">
        <f t="shared" si="1"/>
        <v>17</v>
      </c>
    </row>
    <row r="120" spans="3:4" x14ac:dyDescent="0.3">
      <c r="C120" s="3">
        <v>7.5936055290313664E-2</v>
      </c>
      <c r="D120">
        <f t="shared" si="1"/>
        <v>14</v>
      </c>
    </row>
    <row r="121" spans="3:4" x14ac:dyDescent="0.3">
      <c r="C121" s="3">
        <v>0.57396039159275902</v>
      </c>
      <c r="D121">
        <f t="shared" si="1"/>
        <v>90</v>
      </c>
    </row>
    <row r="122" spans="3:4" x14ac:dyDescent="0.3">
      <c r="C122" s="3">
        <v>0.41937400032671979</v>
      </c>
      <c r="D122">
        <f t="shared" si="1"/>
        <v>66</v>
      </c>
    </row>
    <row r="123" spans="3:4" x14ac:dyDescent="0.3">
      <c r="C123" s="3">
        <v>0.44281734707320886</v>
      </c>
      <c r="D123">
        <f t="shared" si="1"/>
        <v>70</v>
      </c>
    </row>
    <row r="124" spans="3:4" x14ac:dyDescent="0.3">
      <c r="C124" s="3">
        <v>0.75437816264691793</v>
      </c>
      <c r="D124">
        <f t="shared" si="1"/>
        <v>116</v>
      </c>
    </row>
    <row r="125" spans="3:4" x14ac:dyDescent="0.3">
      <c r="C125" s="3">
        <v>0.7313822870610609</v>
      </c>
      <c r="D125">
        <f t="shared" si="1"/>
        <v>111</v>
      </c>
    </row>
    <row r="126" spans="3:4" x14ac:dyDescent="0.3">
      <c r="C126" s="3">
        <v>0.36331999108406776</v>
      </c>
      <c r="D126">
        <f t="shared" si="1"/>
        <v>58</v>
      </c>
    </row>
    <row r="127" spans="3:4" x14ac:dyDescent="0.3">
      <c r="C127" s="3">
        <v>0.84897101740680225</v>
      </c>
      <c r="D127">
        <f t="shared" si="1"/>
        <v>127</v>
      </c>
    </row>
    <row r="128" spans="3:4" x14ac:dyDescent="0.3">
      <c r="C128" s="3">
        <v>0.14230301904215759</v>
      </c>
      <c r="D128">
        <f t="shared" si="1"/>
        <v>25</v>
      </c>
    </row>
    <row r="129" spans="3:4" x14ac:dyDescent="0.3">
      <c r="C129" s="3">
        <v>0.99161087663243763</v>
      </c>
      <c r="D129">
        <f t="shared" si="1"/>
        <v>143</v>
      </c>
    </row>
    <row r="130" spans="3:4" x14ac:dyDescent="0.3">
      <c r="C130" s="3">
        <v>6.9700049193480162E-2</v>
      </c>
      <c r="D130">
        <f t="shared" si="1"/>
        <v>11</v>
      </c>
    </row>
    <row r="131" spans="3:4" x14ac:dyDescent="0.3">
      <c r="C131" s="3">
        <v>0.30064796652056058</v>
      </c>
      <c r="D131">
        <f t="shared" si="1"/>
        <v>48</v>
      </c>
    </row>
    <row r="132" spans="3:4" x14ac:dyDescent="0.3">
      <c r="C132" s="3">
        <v>0.62313926119046126</v>
      </c>
      <c r="D132">
        <f t="shared" si="1"/>
        <v>96</v>
      </c>
    </row>
    <row r="133" spans="3:4" x14ac:dyDescent="0.3">
      <c r="C133" s="3">
        <v>6.1584404328528297E-2</v>
      </c>
      <c r="D133">
        <f t="shared" si="1"/>
        <v>10</v>
      </c>
    </row>
    <row r="134" spans="3:4" x14ac:dyDescent="0.3">
      <c r="C134" s="3">
        <v>0.17443756009349876</v>
      </c>
      <c r="D134">
        <f t="shared" si="1"/>
        <v>31</v>
      </c>
    </row>
    <row r="135" spans="3:4" x14ac:dyDescent="0.3">
      <c r="C135" s="3">
        <v>0.65546802402866933</v>
      </c>
      <c r="D135">
        <f t="shared" si="1"/>
        <v>105</v>
      </c>
    </row>
    <row r="136" spans="3:4" x14ac:dyDescent="0.3">
      <c r="C136" s="3">
        <v>0.40508235091402078</v>
      </c>
      <c r="D136">
        <f t="shared" si="1"/>
        <v>63</v>
      </c>
    </row>
    <row r="137" spans="3:4" x14ac:dyDescent="0.3">
      <c r="C137" s="3">
        <v>0.76160526437724552</v>
      </c>
      <c r="D137">
        <f t="shared" si="1"/>
        <v>119</v>
      </c>
    </row>
    <row r="138" spans="3:4" x14ac:dyDescent="0.3">
      <c r="C138" s="3">
        <v>0.667536540995885</v>
      </c>
      <c r="D138">
        <f t="shared" si="1"/>
        <v>107</v>
      </c>
    </row>
    <row r="139" spans="3:4" x14ac:dyDescent="0.3">
      <c r="C139" s="3">
        <v>0.30005336264903293</v>
      </c>
      <c r="D139">
        <f t="shared" si="1"/>
        <v>47</v>
      </c>
    </row>
    <row r="140" spans="3:4" x14ac:dyDescent="0.3">
      <c r="C140" s="3">
        <v>0.97532088359773161</v>
      </c>
      <c r="D140">
        <f t="shared" si="1"/>
        <v>141</v>
      </c>
    </row>
    <row r="141" spans="3:4" x14ac:dyDescent="0.3">
      <c r="C141" s="3">
        <v>0.18526559034285206</v>
      </c>
      <c r="D141">
        <f t="shared" si="1"/>
        <v>34</v>
      </c>
    </row>
    <row r="142" spans="3:4" x14ac:dyDescent="0.3">
      <c r="C142" s="3">
        <v>0.88208642176538887</v>
      </c>
      <c r="D142">
        <f t="shared" si="1"/>
        <v>131</v>
      </c>
    </row>
    <row r="143" spans="3:4" x14ac:dyDescent="0.3">
      <c r="C143" s="3">
        <v>0.21817843972997786</v>
      </c>
      <c r="D143">
        <f t="shared" si="1"/>
        <v>39</v>
      </c>
    </row>
    <row r="144" spans="3:4" x14ac:dyDescent="0.3">
      <c r="C144" s="3">
        <v>0.84263687628702499</v>
      </c>
      <c r="D144">
        <f t="shared" si="1"/>
        <v>125</v>
      </c>
    </row>
    <row r="145" spans="3:4" x14ac:dyDescent="0.3">
      <c r="C145" s="3">
        <v>2.5333565208191522E-2</v>
      </c>
      <c r="D145">
        <f t="shared" si="1"/>
        <v>1</v>
      </c>
    </row>
    <row r="146" spans="3:4" x14ac:dyDescent="0.3">
      <c r="C146" s="3">
        <v>3.2692490434471422E-2</v>
      </c>
      <c r="D146">
        <f t="shared" si="1"/>
        <v>3</v>
      </c>
    </row>
    <row r="147" spans="3:4" x14ac:dyDescent="0.3">
      <c r="C147" s="3">
        <v>0.94543742557652555</v>
      </c>
      <c r="D147">
        <f t="shared" si="1"/>
        <v>138</v>
      </c>
    </row>
    <row r="148" spans="3:4" x14ac:dyDescent="0.3">
      <c r="C148" s="3">
        <v>0.8827627888100481</v>
      </c>
      <c r="D148">
        <f t="shared" si="1"/>
        <v>132</v>
      </c>
    </row>
    <row r="149" spans="3:4" x14ac:dyDescent="0.3">
      <c r="C149" s="3">
        <v>0.75834744782416774</v>
      </c>
      <c r="D149">
        <f t="shared" si="1"/>
        <v>118</v>
      </c>
    </row>
    <row r="150" spans="3:4" x14ac:dyDescent="0.3">
      <c r="C150" s="3">
        <v>4.6021593575343633E-2</v>
      </c>
      <c r="D150">
        <f t="shared" ref="D150:D164" si="2">+_xlfn.RANK.EQ(C150,$C$21:$C$164,1)</f>
        <v>6</v>
      </c>
    </row>
    <row r="151" spans="3:4" x14ac:dyDescent="0.3">
      <c r="C151" s="3">
        <v>0.48306560828202771</v>
      </c>
      <c r="D151">
        <f t="shared" si="2"/>
        <v>79</v>
      </c>
    </row>
    <row r="152" spans="3:4" x14ac:dyDescent="0.3">
      <c r="C152" s="3">
        <v>0.63090107536896034</v>
      </c>
      <c r="D152">
        <f t="shared" si="2"/>
        <v>99</v>
      </c>
    </row>
    <row r="153" spans="3:4" x14ac:dyDescent="0.3">
      <c r="C153" s="3">
        <v>0.88946460957769857</v>
      </c>
      <c r="D153">
        <f t="shared" si="2"/>
        <v>133</v>
      </c>
    </row>
    <row r="154" spans="3:4" x14ac:dyDescent="0.3">
      <c r="C154" s="3">
        <v>0.44647594287814296</v>
      </c>
      <c r="D154">
        <f t="shared" si="2"/>
        <v>71</v>
      </c>
    </row>
    <row r="155" spans="3:4" x14ac:dyDescent="0.3">
      <c r="C155" s="3">
        <v>5.8548777183208389E-2</v>
      </c>
      <c r="D155">
        <f t="shared" si="2"/>
        <v>8</v>
      </c>
    </row>
    <row r="156" spans="3:4" x14ac:dyDescent="0.3">
      <c r="C156" s="3">
        <v>0.27062330375724475</v>
      </c>
      <c r="D156">
        <f t="shared" si="2"/>
        <v>43</v>
      </c>
    </row>
    <row r="157" spans="3:4" x14ac:dyDescent="0.3">
      <c r="C157" s="3">
        <v>0.13441821457114411</v>
      </c>
      <c r="D157">
        <f t="shared" si="2"/>
        <v>24</v>
      </c>
    </row>
    <row r="158" spans="3:4" x14ac:dyDescent="0.3">
      <c r="C158" s="3">
        <v>6.156858239416374E-2</v>
      </c>
      <c r="D158">
        <f t="shared" si="2"/>
        <v>9</v>
      </c>
    </row>
    <row r="159" spans="3:4" x14ac:dyDescent="0.3">
      <c r="C159" s="3">
        <v>0.13261355549456655</v>
      </c>
      <c r="D159">
        <f t="shared" si="2"/>
        <v>23</v>
      </c>
    </row>
    <row r="160" spans="3:4" x14ac:dyDescent="0.3">
      <c r="C160" s="3">
        <v>0.47995428869949541</v>
      </c>
      <c r="D160">
        <f t="shared" si="2"/>
        <v>78</v>
      </c>
    </row>
    <row r="161" spans="3:4" x14ac:dyDescent="0.3">
      <c r="C161" s="3">
        <v>0.39504659311808732</v>
      </c>
      <c r="D161">
        <f t="shared" si="2"/>
        <v>61</v>
      </c>
    </row>
    <row r="162" spans="3:4" x14ac:dyDescent="0.3">
      <c r="C162" s="3">
        <v>0.4115667579285941</v>
      </c>
      <c r="D162">
        <f t="shared" si="2"/>
        <v>64</v>
      </c>
    </row>
    <row r="163" spans="3:4" x14ac:dyDescent="0.3">
      <c r="C163" s="3">
        <v>0.46013950370412571</v>
      </c>
      <c r="D163">
        <f t="shared" si="2"/>
        <v>75</v>
      </c>
    </row>
    <row r="164" spans="3:4" x14ac:dyDescent="0.3">
      <c r="C164" s="3">
        <v>0.94815028967799941</v>
      </c>
      <c r="D164">
        <f t="shared" si="2"/>
        <v>139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domMoney">
                <anchor moveWithCells="1" sizeWithCells="1">
                  <from>
                    <xdr:col>13</xdr:col>
                    <xdr:colOff>22860</xdr:colOff>
                    <xdr:row>3</xdr:row>
                    <xdr:rowOff>22860</xdr:rowOff>
                  </from>
                  <to>
                    <xdr:col>16</xdr:col>
                    <xdr:colOff>594360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conditions</vt:lpstr>
      <vt:lpstr>cond_inter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odperez</dc:creator>
  <cp:lastModifiedBy>Windows User</cp:lastModifiedBy>
  <dcterms:created xsi:type="dcterms:W3CDTF">2018-05-29T23:36:50Z</dcterms:created>
  <dcterms:modified xsi:type="dcterms:W3CDTF">2019-06-28T15:50:29Z</dcterms:modified>
</cp:coreProperties>
</file>